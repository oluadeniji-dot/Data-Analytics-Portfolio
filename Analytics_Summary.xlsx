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f0325e276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f0c5fcc8bba4ee9"/>
    <x:sheet xmlns:r="http://schemas.openxmlformats.org/officeDocument/2006/relationships" name="Health_Summary" sheetId="2" r:id="R5e71a7da368548d7"/>
    <x:sheet xmlns:r="http://schemas.openxmlformats.org/officeDocument/2006/relationships" name="Cost_Summary" sheetId="3" r:id="R105849b5ffe44bbc"/>
    <x:sheet xmlns:r="http://schemas.openxmlformats.org/officeDocument/2006/relationships" name="Sample_Records" sheetId="4" r:id="Raa26f04c367e4116"/>
    <x:sheet xmlns:r="http://schemas.openxmlformats.org/officeDocument/2006/relationships" name="Methods_Sources" sheetId="5" r:id="Rd632776e8e07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#,##0"/>
    <x:numFmt numFmtId="203" formatCode="0%"/>
  </x:numFmts>
  <x:fonts count="14">
    <x:font>
      <x:sz val="11"/>
      <x:name val="Carlito"/>
    </x:font>
    <x:font>
      <x:sz val="11"/>
      <x:name val="Aptos"/>
    </x:font>
    <x:font>
      <x:b/>
      <x:sz val="15"/>
      <x:color rgb="FFFFFFFF"/>
      <x:name val="Aptos"/>
    </x:font>
    <x:font>
      <x:sz val="10"/>
      <x:color rgb="FF62758A"/>
      <x:name val="Aptos"/>
    </x:font>
    <x:font>
      <x:b/>
      <x:sz val="10"/>
      <x:color rgb="FFFFFFFF"/>
      <x:name val="Aptos"/>
    </x:font>
    <x:font>
      <x:b/>
      <x:sz val="11"/>
      <x:color rgb="FF14273F"/>
      <x:name val="Aptos"/>
    </x:font>
    <x:font>
      <x:b/>
      <x:sz val="17"/>
      <x:color rgb="FFFFFFFF"/>
      <x:name val="Aptos"/>
    </x:font>
    <x:font>
      <x:b/>
      <x:sz val="10"/>
      <x:color rgb="FF127F74"/>
      <x:name val="Aptos"/>
    </x:font>
    <x:font>
      <x:b/>
      <x:sz val="23"/>
      <x:color rgb="FF14273F"/>
      <x:name val="Aptos"/>
    </x:font>
    <x:font>
      <x:b/>
      <x:sz val="11"/>
      <x:color rgb="FFFFFFFF"/>
      <x:name val="Aptos"/>
    </x:font>
    <x:font>
      <x:sz val="10"/>
      <x:color rgb="FF14273F"/>
      <x:name val="Aptos"/>
    </x:font>
    <x:font>
      <x:sz val="9"/>
      <x:color rgb="FF62758A"/>
      <x:name val="Aptos"/>
    </x:font>
    <x:font>
      <x:b/>
      <x:sz val="14"/>
      <x:color rgb="FFFFFFFF"/>
      <x:name val="Aptos"/>
    </x:font>
    <x:font>
      <x:b/>
      <x:sz val="10"/>
      <x:color rgb="FF14273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4273F"/>
      </x:patternFill>
    </x:fill>
    <x:fill>
      <x:patternFill patternType="solid">
        <x:fgColor rgb="FFF2F6FA"/>
      </x:patternFill>
    </x:fill>
    <x:fill>
      <x:patternFill patternType="solid">
        <x:fgColor rgb="FF276A93"/>
      </x:patternFill>
    </x:fill>
    <x:fill>
      <x:patternFill patternType="solid">
        <x:fgColor rgb="FFDFEDEB"/>
      </x:patternFill>
    </x:fill>
    <x:fill>
      <x:patternFill patternType="solid">
        <x:fgColor rgb="FFF4F8FB"/>
      </x:patternFill>
    </x:fill>
    <x:fill>
      <x:patternFill patternType="solid">
        <x:fgColor rgb="FFDCEEF0"/>
      </x:patternFill>
    </x:fill>
    <x:fill>
      <x:patternFill patternType="solid">
        <x:fgColor rgb="FFF5FAFB"/>
      </x:patternFill>
    </x:fill>
    <x:fill>
      <x:patternFill patternType="solid">
        <x:fgColor rgb="FFEDF3F9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1" fillId="5" borderId="1" xfId="0" applyNumberFormat="1" applyFont="1" applyFill="1" applyBorder="1"/>
    <x:xf numFmtId="200" fontId="1" fillId="5" borderId="1" xfId="0" applyNumberFormat="1" applyFont="1" applyFill="1" applyBorder="1"/>
    <x:xf numFmtId="201" fontId="1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201" fontId="5" fillId="5" borderId="1" xfId="0" applyNumberFormat="1" applyFont="1" applyFill="1" applyBorder="1"/>
    <x:xf numFmtId="0" fontId="1" fillId="6" borderId="0" xfId="0" applyNumberFormat="1" applyFont="1" applyFill="1" applyBorder="1"/>
    <x:xf numFmtId="202" fontId="1" fillId="6" borderId="0" xfId="0" applyNumberFormat="1" applyFont="1" applyFill="1" applyBorder="1"/>
    <x:xf numFmtId="200" fontId="1" fillId="6" borderId="0" xfId="0" applyNumberFormat="1" applyFont="1" applyFill="1" applyBorder="1"/>
    <x:xf numFmtId="201" fontId="1" fillId="6" borderId="0" xfId="0" applyNumberFormat="1" applyFont="1" applyFill="1" applyBorder="1"/>
    <x:xf numFmtId="0" fontId="1" fillId="6" borderId="1" xfId="0" applyNumberFormat="1" applyFont="1" applyFill="1" applyBorder="1"/>
    <x:xf numFmtId="202" fontId="1" fillId="6" borderId="1" xfId="0" applyNumberFormat="1" applyFont="1" applyFill="1" applyBorder="1"/>
    <x:xf numFmtId="200" fontId="1" fillId="6" borderId="1" xfId="0" applyNumberFormat="1" applyFont="1" applyFill="1" applyBorder="1"/>
    <x:xf numFmtId="201" fontId="1" fillId="6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3" fontId="1" fillId="6" borderId="0" xfId="0" applyNumberFormat="1" applyFont="1" applyFill="1" applyBorder="1"/>
    <x:xf numFmtId="203" fontId="1" fillId="6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1" fillId="7" borderId="1" xfId="0" applyNumberFormat="1" applyFont="1" applyFill="1" applyBorder="1"/>
    <x:xf numFmtId="0" fontId="7" fillId="7" borderId="1" xfId="0" applyNumberFormat="1" applyFont="1" applyFill="1" applyBorder="1"/>
    <x:xf numFmtId="202" fontId="1" fillId="8" borderId="0" xfId="0" applyNumberFormat="1" applyFont="1" applyFill="1" applyBorder="1"/>
    <x:xf numFmtId="0" fontId="1" fillId="8" borderId="0" xfId="0" applyNumberFormat="1" applyFont="1" applyFill="1" applyBorder="1"/>
    <x:xf numFmtId="202" fontId="8" fillId="8" borderId="0" xfId="0" applyNumberFormat="1" applyFont="1" applyFill="1" applyBorder="1"/>
    <x:xf numFmtId="0" fontId="8" fillId="8" borderId="0" xfId="0" applyNumberFormat="1" applyFont="1" applyFill="1" applyBorder="1"/>
    <x:xf numFmtId="202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1" fillId="8" borderId="1" xfId="0" applyNumberFormat="1" applyFont="1" applyFill="1" applyBorder="1"/>
    <x:xf numFmtId="0" fontId="1" fillId="8" borderId="1" xfId="0" applyNumberFormat="1" applyFont="1" applyFill="1" applyBorder="1"/>
    <x:xf numFmtId="202" fontId="8" fillId="8" borderId="1" xfId="0" applyNumberFormat="1" applyFont="1" applyFill="1" applyBorder="1"/>
    <x:xf numFmtId="0" fontId="8" fillId="8" borderId="1" xfId="0" applyNumberFormat="1" applyFont="1" applyFill="1" applyBorder="1"/>
    <x:xf numFmtId="202" fontId="8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/>
    <x:xf numFmtId="200" fontId="8" fillId="8" borderId="0" xfId="0" applyNumberFormat="1" applyFont="1" applyFill="1" applyBorder="1"/>
    <x:xf numFmtId="200" fontId="8" fillId="8" borderId="0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/>
    <x:xf numFmtId="200" fontId="8" fillId="8" borderId="1" xfId="0" applyNumberFormat="1" applyFont="1" applyFill="1" applyBorder="1"/>
    <x:xf numFmtId="200" fontId="8" fillId="8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9" borderId="0" xfId="0" applyNumberFormat="1" applyFont="1" applyFill="1" applyBorder="1"/>
    <x:xf numFmtId="0" fontId="13" fillId="9" borderId="0" xfId="0" applyNumberFormat="1" applyFont="1" applyFill="1" applyBorder="1"/>
    <x:xf numFmtId="0" fontId="1" fillId="9" borderId="1" xfId="0" applyNumberFormat="1" applyFont="1" applyFill="1" applyBorder="1"/>
    <x:xf numFmtId="0" fontId="13" fillId="9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f162482394631" /><Relationship Type="http://schemas.openxmlformats.org/officeDocument/2006/relationships/theme" Target="/xl/theme/theme1.xml" Id="Re4d43bc3b56b4144" /><Relationship Type="http://schemas.openxmlformats.org/officeDocument/2006/relationships/sharedStrings" Target="/xl/sharedStrings.xml" Id="R4da894cb136d49f9" /><Relationship Type="http://schemas.openxmlformats.org/officeDocument/2006/relationships/worksheet" Target="/xl/worksheets/sheet1.xml" Id="R1f0c5fcc8bba4ee9" /><Relationship Type="http://schemas.openxmlformats.org/officeDocument/2006/relationships/worksheet" Target="/xl/worksheets/sheet2.xml" Id="R5e71a7da368548d7" /><Relationship Type="http://schemas.openxmlformats.org/officeDocument/2006/relationships/worksheet" Target="/xl/worksheets/sheet3.xml" Id="R105849b5ffe44bbc" /><Relationship Type="http://schemas.openxmlformats.org/officeDocument/2006/relationships/worksheet" Target="/xl/worksheets/sheet4.xml" Id="Raa26f04c367e4116" /><Relationship Type="http://schemas.openxmlformats.org/officeDocument/2006/relationships/worksheet" Target="/xl/worksheets/sheet5.xml" Id="Rd632776e8e074b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141d49f9324ccf" /><Relationship Type="http://schemas.openxmlformats.org/officeDocument/2006/relationships/chart" Target="/xl/drawings/charts/chart2.xml" Id="Raef6f40c7caf4db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Avg visits</c:v>
          </c:tx>
          <c:cat>
            <c:strRef>
              <c:f>'Health_Summary'!$A$4:$A$7</c:f>
              <c:strCache>
                <c:ptCount val="0"/>
              </c:strCache>
            </c:strRef>
          </c:cat>
          <c:val>
            <c:numRef>
              <c:f>'Health_Summary'!$E$4:$E$7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No MD visits</c:v>
          </c:tx>
          <c:cat>
            <c:strRef>
              <c:f>'Cost_Summary'!$A$4:$A$8</c:f>
              <c:strCache>
                <c:ptCount val="0"/>
              </c:strCache>
            </c:strRef>
          </c:cat>
          <c:val>
            <c:numRef>
              <c:f>'Cost_Summary'!$F$4:$F$8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141d49f9324ccf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f6f40c7caf4d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ySampleTable" displayName="StudySampleTable" ref="A3:H153" headerRowCount="1" totalsRowCount="0" totalsRowShown="0">
  <x:tableColumns count="8">
    <x:tableColumn id="1" name="Record #"/>
    <x:tableColumn id="2" name="MD visits"/>
    <x:tableColumn id="3" name="Health status"/>
    <x:tableColumn id="4" name="Coinsurance %"/>
    <x:tableColumn id="5" name="Deductible plan"/>
    <x:tableColumn id="6" name="Had visit"/>
    <x:tableColumn id="7" name="8+ visits"/>
    <x:tableColumn id="8" name="Visit b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9d1b9d8f194d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2a8fc13640b44ff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</x:cols>
  <x:sheetData>
    <x:row r="1" ht="25" customHeight="1">
      <x:c r="A1" s="53" t="str">
        <x:v>SERVICE UTILIZATION | ANALYTICS DASHBOARD</x:v>
      </x:c>
      <x:c r="B1" s="53"/>
      <x:c r="C1" s="53"/>
      <x:c r="D1" s="53"/>
      <x:c r="E1" s="53"/>
      <x:c r="F1" s="53"/>
      <x:c r="G1" s="53"/>
      <x:c r="H1" s="53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53"/>
      <x:c r="B2" s="53"/>
      <x:c r="C2" s="53"/>
      <x:c r="D2" s="53"/>
      <x:c r="E2" s="53"/>
      <x:c r="F2" s="53"/>
      <x:c r="G2" s="53"/>
      <x:c r="H2" s="53"/>
      <x:c r="I2" s="2"/>
      <x:c r="J2" s="2"/>
      <x:c r="K2" s="2"/>
      <x:c r="L2" s="2"/>
      <x:c r="M2" s="2"/>
      <x:c r="N2" s="2"/>
      <x:c r="O2" s="2"/>
      <x:c r="P2" s="2"/>
    </x:row>
    <x:row r="3" ht="28" customHeight="1">
      <x:c r="A3" s="11" t="str">
        <x:v>Public RAND HIE sample  •  SQL + Python + Excel  •  Historical research data, not live operations</x:v>
      </x:c>
      <x:c r="B3" s="11"/>
      <x:c r="C3" s="11"/>
      <x:c r="D3" s="11"/>
      <x:c r="E3" s="11"/>
      <x:c r="F3" s="11"/>
      <x:c r="G3" s="11"/>
      <x:c r="H3" s="11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57" t="str">
        <x:v>STUDY RECORDS</x:v>
      </x:c>
      <x:c r="B5" s="57"/>
      <x:c r="C5" s="57"/>
      <x:c r="D5" s="57" t="str">
        <x:v>MD VISITS</x:v>
      </x:c>
      <x:c r="E5" s="57"/>
      <x:c r="F5" s="57"/>
      <x:c r="G5" s="57" t="str">
        <x:v>AVG VISITS / RECORD</x:v>
      </x:c>
      <x:c r="H5" s="57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64" t="n">
        <x:f>Health_Summary!B9</x:f>
        <x:v>20190</x:v>
      </x:c>
      <x:c r="B6" s="65"/>
      <x:c r="C6" s="65"/>
      <x:c r="D6" s="64" t="n">
        <x:f>Health_Summary!C9</x:f>
        <x:v>57752</x:v>
      </x:c>
      <x:c r="E6" s="65"/>
      <x:c r="F6" s="65"/>
      <x:c r="G6" s="74" t="n">
        <x:f>Health_Summary!E9</x:f>
        <x:v>2.860425953442298</x:v>
      </x:c>
      <x:c r="H6" s="65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65"/>
      <x:c r="B7" s="65"/>
      <x:c r="C7" s="65"/>
      <x:c r="D7" s="65"/>
      <x:c r="E7" s="65"/>
      <x:c r="F7" s="65"/>
      <x:c r="G7" s="65"/>
      <x:c r="H7" s="65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65"/>
      <x:c r="B8" s="65"/>
      <x:c r="C8" s="65"/>
      <x:c r="D8" s="65"/>
      <x:c r="E8" s="65"/>
      <x:c r="F8" s="65"/>
      <x:c r="G8" s="65"/>
      <x:c r="H8" s="65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7" customHeight="1">
      <x:c r="A10" s="78" t="str">
        <x:v>OVERVIEW BY HEALTH GROUP AND COST SHARING</x:v>
      </x:c>
      <x:c r="B10" s="78"/>
      <x:c r="C10" s="78"/>
      <x:c r="D10" s="78"/>
      <x:c r="E10" s="78"/>
      <x:c r="F10" s="78"/>
      <x:c r="G10" s="78"/>
      <x:c r="H10" s="78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7" customHeight="1">
      <x:c r="A29" s="80" t="str">
        <x:v>MANAGER BRIEF | WHAT THIS SAMPLE SUGGESTS</x:v>
      </x:c>
      <x:c r="B29" s="80"/>
      <x:c r="C29" s="80"/>
      <x:c r="D29" s="80"/>
      <x:c r="E29" s="80"/>
      <x:c r="F29" s="80"/>
      <x:c r="G29" s="80"/>
      <x:c r="H29" s="80"/>
      <x:c r="I29" s="2"/>
      <x:c r="J29" s="2"/>
      <x:c r="K29" s="2"/>
      <x:c r="L29" s="2"/>
      <x:c r="M29" s="2"/>
      <x:c r="N29" s="2"/>
      <x:c r="O29" s="2"/>
      <x:c r="P29" s="2"/>
    </x:row>
    <x:row r="30" ht="21" customHeight="1">
      <x:c r="A30" s="84" t="str">
        <x:v>About 31% of records have zero outpatient MD visits; report both averages and distributions.</x:v>
      </x:c>
      <x:c r="B30" s="84"/>
      <x:c r="C30" s="84"/>
      <x:c r="D30" s="84"/>
      <x:c r="E30" s="84"/>
      <x:c r="F30" s="84"/>
      <x:c r="G30" s="84"/>
      <x:c r="H30" s="84"/>
      <x:c r="I30" s="2"/>
      <x:c r="J30" s="2"/>
      <x:c r="K30" s="2"/>
      <x:c r="L30" s="2"/>
      <x:c r="M30" s="2"/>
      <x:c r="N30" s="2"/>
      <x:c r="O30" s="2"/>
      <x:c r="P30" s="2"/>
    </x:row>
    <x:row r="31" ht="21" customHeight="1">
      <x:c r="A31" s="84"/>
      <x:c r="B31" s="84"/>
      <x:c r="C31" s="84"/>
      <x:c r="D31" s="84"/>
      <x:c r="E31" s="84"/>
      <x:c r="F31" s="84"/>
      <x:c r="G31" s="84"/>
      <x:c r="H31" s="84"/>
      <x:c r="I31" s="2"/>
      <x:c r="J31" s="2"/>
      <x:c r="K31" s="2"/>
      <x:c r="L31" s="2"/>
      <x:c r="M31" s="2"/>
      <x:c r="N31" s="2"/>
      <x:c r="O31" s="2"/>
      <x:c r="P31" s="2"/>
    </x:row>
    <x:row r="32" ht="21" customHeight="1">
      <x:c r="A32" s="84" t="str">
        <x:v>Poor self-rated health is linked with more average visits than excellent self-rated health, descriptively.</x:v>
      </x:c>
      <x:c r="B32" s="84"/>
      <x:c r="C32" s="84"/>
      <x:c r="D32" s="84"/>
      <x:c r="E32" s="84"/>
      <x:c r="F32" s="84"/>
      <x:c r="G32" s="84"/>
      <x:c r="H32" s="84"/>
      <x:c r="I32" s="2"/>
      <x:c r="J32" s="2"/>
      <x:c r="K32" s="2"/>
      <x:c r="L32" s="2"/>
      <x:c r="M32" s="2"/>
      <x:c r="N32" s="2"/>
      <x:c r="O32" s="2"/>
      <x:c r="P32" s="2"/>
    </x:row>
    <x:row r="33" ht="21" customHeight="1">
      <x:c r="A33" s="84"/>
      <x:c r="B33" s="84"/>
      <x:c r="C33" s="84"/>
      <x:c r="D33" s="84"/>
      <x:c r="E33" s="84"/>
      <x:c r="F33" s="84"/>
      <x:c r="G33" s="84"/>
      <x:c r="H33" s="84"/>
      <x:c r="I33" s="2"/>
      <x:c r="J33" s="2"/>
      <x:c r="K33" s="2"/>
      <x:c r="L33" s="2"/>
      <x:c r="M33" s="2"/>
      <x:c r="N33" s="2"/>
      <x:c r="O33" s="2"/>
      <x:c r="P33" s="2"/>
    </x:row>
    <x:row r="34" ht="21" customHeight="1">
      <x:c r="A34" s="84" t="str">
        <x:v>Insurance group differences should not be read as standalone causal effects or current forecasts.</x:v>
      </x:c>
      <x:c r="B34" s="84"/>
      <x:c r="C34" s="84"/>
      <x:c r="D34" s="84"/>
      <x:c r="E34" s="84"/>
      <x:c r="F34" s="84"/>
      <x:c r="G34" s="84"/>
      <x:c r="H34" s="84"/>
      <x:c r="I34" s="2"/>
      <x:c r="J34" s="2"/>
      <x:c r="K34" s="2"/>
      <x:c r="L34" s="2"/>
      <x:c r="M34" s="2"/>
      <x:c r="N34" s="2"/>
      <x:c r="O34" s="2"/>
      <x:c r="P34" s="2"/>
    </x:row>
    <x:row r="35" ht="21" customHeight="1">
      <x:c r="A35" s="84"/>
      <x:c r="B35" s="84"/>
      <x:c r="C35" s="84"/>
      <x:c r="D35" s="84"/>
      <x:c r="E35" s="84"/>
      <x:c r="F35" s="84"/>
      <x:c r="G35" s="84"/>
      <x:c r="H35" s="84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88" t="str">
        <x:v>DATA: https://www.statsmodels.org/stable/datasets/generated/randhie.html</x:v>
      </x:c>
      <x:c r="B37" s="88"/>
      <x:c r="C37" s="88"/>
      <x:c r="D37" s="88"/>
      <x:c r="E37" s="88"/>
      <x:c r="F37" s="88"/>
      <x:c r="G37" s="88"/>
      <x:c r="H37" s="88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</x:sheetData>
  <x:mergeCells>
    <x:mergeCell ref="A1:H2"/>
    <x:mergeCell ref="A3:H3"/>
    <x:mergeCell ref="A5:C5"/>
    <x:mergeCell ref="A6:C8"/>
    <x:mergeCell ref="D5:F5"/>
    <x:mergeCell ref="D6:F8"/>
    <x:mergeCell ref="G5:H5"/>
    <x:mergeCell ref="G6:H8"/>
    <x:mergeCell ref="A10:H10"/>
    <x:mergeCell ref="A29:H29"/>
    <x:mergeCell ref="A30:H31"/>
    <x:mergeCell ref="A32:H33"/>
    <x:mergeCell ref="A34:H35"/>
    <x:mergeCell ref="A37:H37"/>
  </x:mergeCells>
  <x:pageMargins left="0.7" right="0.7" top="0.75" bottom="0.75" header="0.3" footer="0.3"/>
  <x:drawing xmlns:r="http://schemas.openxmlformats.org/officeDocument/2006/relationships" r:id="Rfd9d1b9d8f194d57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1" hidden="0" customWidth="1"/>
    <x:col min="5" max="5" width="17" hidden="0" customWidth="1"/>
    <x:col min="6" max="6" width="18" hidden="0" customWidth="1"/>
    <x:col min="7" max="7" width="20" hidden="0" customWidth="1"/>
  </x:cols>
  <x:sheetData>
    <x:row r="1" ht="34" customHeight="1">
      <x:c r="A1" s="6" t="str">
        <x:v>HEALTH STATUS | AGGREGATE VISITS</x:v>
      </x:c>
      <x:c r="B1" s="6"/>
      <x:c r="C1" s="6"/>
      <x:c r="D1" s="6"/>
      <x:c r="E1" s="6"/>
      <x:c r="F1" s="6"/>
      <x:c r="G1" s="6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11" t="str">
        <x:v>Public RAND HIE subset • descriptive by self-reported health group</x:v>
      </x:c>
      <x:c r="B2" s="11"/>
      <x:c r="C2" s="11"/>
      <x:c r="D2" s="11"/>
      <x:c r="E2" s="11"/>
      <x:c r="F2" s="11"/>
      <x:c r="G2" s="11"/>
      <x:c r="H2" s="2"/>
      <x:c r="I2" s="2"/>
      <x:c r="J2" s="2"/>
      <x:c r="K2" s="2"/>
      <x:c r="L2" s="2"/>
      <x:c r="M2" s="2"/>
      <x:c r="N2" s="2"/>
      <x:c r="O2" s="2"/>
      <x:c r="P2" s="2"/>
    </x:row>
    <x:row r="3" ht="28" customHeight="1">
      <x:c r="A3" s="16" t="str">
        <x:v>Health group</x:v>
      </x:c>
      <x:c r="B3" s="16" t="str">
        <x:v>Study records</x:v>
      </x:c>
      <x:c r="C3" s="16" t="str">
        <x:v>Total MD visits</x:v>
      </x:c>
      <x:c r="D3" s="16" t="str">
        <x:v>Zero-visit records</x:v>
      </x:c>
      <x:c r="E3" s="16" t="str">
        <x:v>Avg visits</x:v>
      </x:c>
      <x:c r="F3" s="16" t="str">
        <x:v>Zero-visit share</x:v>
      </x:c>
      <x:c r="G3" s="16" t="str">
        <x:v>8+ visit records</x:v>
      </x:c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38" t="str">
        <x:v>Excellent</x:v>
      </x:c>
      <x:c r="B4" s="39" t="n">
        <x:v>11019</x:v>
      </x:c>
      <x:c r="C4" s="39" t="n">
        <x:v>29029</x:v>
      </x:c>
      <x:c r="D4" s="39" t="n">
        <x:v>3413</x:v>
      </x:c>
      <x:c r="E4" s="40" t="n">
        <x:f>C4/B4</x:f>
        <x:v>2.634449587076867</x:v>
      </x:c>
      <x:c r="F4" s="41" t="n">
        <x:f>D4/B4</x:f>
        <x:v>0.309737725746438</x:v>
      </x:c>
      <x:c r="G4" s="39" t="n">
        <x:v>847</x:v>
      </x:c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 t="str">
        <x:v>Good</x:v>
      </x:c>
      <x:c r="B5" s="24" t="n">
        <x:v>7309</x:v>
      </x:c>
      <x:c r="C5" s="24" t="n">
        <x:v>21213</x:v>
      </x:c>
      <x:c r="D5" s="24" t="n">
        <x:v>2321</x:v>
      </x:c>
      <x:c r="E5" s="20" t="n">
        <x:f>C5/B5</x:f>
        <x:v>2.9023122178136544</x:v>
      </x:c>
      <x:c r="F5" s="22" t="n">
        <x:f>D5/B5</x:f>
        <x:v>0.31755370091667806</x:v>
      </x:c>
      <x:c r="G5" s="24" t="n">
        <x:v>677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38" t="str">
        <x:v>Fair</x:v>
      </x:c>
      <x:c r="B6" s="39" t="n">
        <x:v>1560</x:v>
      </x:c>
      <x:c r="C6" s="39" t="n">
        <x:v>5760</x:v>
      </x:c>
      <x:c r="D6" s="39" t="n">
        <x:v>504</x:v>
      </x:c>
      <x:c r="E6" s="40" t="n">
        <x:f>C6/B6</x:f>
        <x:v>3.6923076923076925</x:v>
      </x:c>
      <x:c r="F6" s="41" t="n">
        <x:f>D6/B6</x:f>
        <x:v>0.3230769230769231</x:v>
      </x:c>
      <x:c r="G6" s="39" t="n">
        <x:v>244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2" t="str">
        <x:v>Poor</x:v>
      </x:c>
      <x:c r="B7" s="24" t="n">
        <x:v>302</x:v>
      </x:c>
      <x:c r="C7" s="24" t="n">
        <x:v>1750</x:v>
      </x:c>
      <x:c r="D7" s="24" t="n">
        <x:v>70</x:v>
      </x:c>
      <x:c r="E7" s="20" t="n">
        <x:f>C7/B7</x:f>
        <x:v>5.7947019867549665</x:v>
      </x:c>
      <x:c r="F7" s="22" t="n">
        <x:f>D7/B7</x:f>
        <x:v>0.23178807947019867</x:v>
      </x:c>
      <x:c r="G7" s="24" t="n">
        <x:v>83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5" customHeight="1">
      <x:c r="A9" s="29" t="str">
        <x:v>TOTAL</x:v>
      </x:c>
      <x:c r="B9" s="29" t="n">
        <x:f>SUM(B4:B7)</x:f>
        <x:v>20190</x:v>
      </x:c>
      <x:c r="C9" s="29" t="n">
        <x:f>SUM(C4:C7)</x:f>
        <x:v>57752</x:v>
      </x:c>
      <x:c r="D9" s="29" t="n">
        <x:f>SUM(D4:D7)</x:f>
        <x:v>6308</x:v>
      </x:c>
      <x:c r="E9" s="30" t="n">
        <x:f>C9/B9</x:f>
        <x:v>2.860425953442298</x:v>
      </x:c>
      <x:c r="F9" s="31" t="n">
        <x:f>D9/B9</x:f>
        <x:v>0.31243189697870233</x:v>
      </x:c>
      <x:c r="G9" s="29" t="n">
        <x:f>SUM(G4:G7)</x:f>
        <x:v>1851</x:v>
      </x:c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6" customHeight="1">
      <x:c r="A12" s="46" t="str">
        <x:v>Unit of analysis: study records. Health flags do not count individual patients.</x:v>
      </x:c>
      <x:c r="B12" s="46"/>
      <x:c r="C12" s="46"/>
      <x:c r="D12" s="46"/>
      <x:c r="E12" s="46"/>
      <x:c r="F12" s="46"/>
      <x:c r="G12" s="46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1" hidden="0" customWidth="1"/>
    <x:col min="5" max="5" width="17" hidden="0" customWidth="1"/>
    <x:col min="6" max="6" width="18" hidden="0" customWidth="1"/>
    <x:col min="7" max="7" width="20" hidden="0" customWidth="1"/>
  </x:cols>
  <x:sheetData>
    <x:row r="1" ht="34" customHeight="1">
      <x:c r="A1" s="6" t="str">
        <x:v>COINSURANCE | AGGREGATE VISITS</x:v>
      </x:c>
      <x:c r="B1" s="6"/>
      <x:c r="C1" s="6"/>
      <x:c r="D1" s="6"/>
      <x:c r="E1" s="6"/>
      <x:c r="F1" s="6"/>
      <x:c r="G1" s="6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11" t="str">
        <x:v>Rates are reconstructed as round(exp(lncoins)-1). All analysis is descriptive.</x:v>
      </x:c>
      <x:c r="B2" s="11"/>
      <x:c r="C2" s="11"/>
      <x:c r="D2" s="11"/>
      <x:c r="E2" s="11"/>
      <x:c r="F2" s="11"/>
      <x:c r="G2" s="11"/>
      <x:c r="H2" s="2"/>
      <x:c r="I2" s="2"/>
      <x:c r="J2" s="2"/>
      <x:c r="K2" s="2"/>
      <x:c r="L2" s="2"/>
      <x:c r="M2" s="2"/>
      <x:c r="N2" s="2"/>
      <x:c r="O2" s="2"/>
      <x:c r="P2" s="2"/>
    </x:row>
    <x:row r="3" ht="28" customHeight="1">
      <x:c r="A3" s="15" t="str">
        <x:v>Coinsurance</x:v>
      </x:c>
      <x:c r="B3" s="15" t="str">
        <x:v>Study records</x:v>
      </x:c>
      <x:c r="C3" s="15" t="str">
        <x:v>Total MD visits</x:v>
      </x:c>
      <x:c r="D3" s="15" t="str">
        <x:v>Zero-visit records</x:v>
      </x:c>
      <x:c r="E3" s="15" t="str">
        <x:v>Avg visits</x:v>
      </x:c>
      <x:c r="F3" s="15" t="str">
        <x:v>Zero-visit share</x:v>
      </x:c>
      <x:c r="G3" s="15" t="str">
        <x:v>8+ visit records</x:v>
      </x:c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50" t="n">
        <x:v>0</x:v>
      </x:c>
      <x:c r="B4" s="39" t="n">
        <x:v>10997</x:v>
      </x:c>
      <x:c r="C4" s="39" t="n">
        <x:v>34350</x:v>
      </x:c>
      <x:c r="D4" s="39" t="n">
        <x:v>3068</x:v>
      </x:c>
      <x:c r="E4" s="40" t="n">
        <x:f>C4/B4</x:f>
        <x:v>3.1235791579521686</x:v>
      </x:c>
      <x:c r="F4" s="41" t="n">
        <x:f>D4/B4</x:f>
        <x:v>0.27898517777575704</x:v>
      </x:c>
      <x:c r="G4" s="38" t="n">
        <x:v>1132</x:v>
      </x:c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48" t="n">
        <x:v>0.25</x:v>
      </x:c>
      <x:c r="B5" s="24" t="n">
        <x:v>4065</x:v>
      </x:c>
      <x:c r="C5" s="24" t="n">
        <x:v>11331</x:v>
      </x:c>
      <x:c r="D5" s="24" t="n">
        <x:v>1236</x:v>
      </x:c>
      <x:c r="E5" s="20" t="n">
        <x:f>C5/B5</x:f>
        <x:v>2.7874538745387456</x:v>
      </x:c>
      <x:c r="F5" s="22" t="n">
        <x:f>D5/B5</x:f>
        <x:v>0.3040590405904059</x:v>
      </x:c>
      <x:c r="G5" s="2" t="n">
        <x:v>345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50" t="n">
        <x:v>0.5</x:v>
      </x:c>
      <x:c r="B6" s="39" t="n">
        <x:v>1401</x:v>
      </x:c>
      <x:c r="C6" s="39" t="n">
        <x:v>3588</x:v>
      </x:c>
      <x:c r="D6" s="39" t="n">
        <x:v>448</x:v>
      </x:c>
      <x:c r="E6" s="40" t="n">
        <x:f>C6/B6</x:f>
        <x:v>2.5610278372591004</x:v>
      </x:c>
      <x:c r="F6" s="41" t="n">
        <x:f>D6/B6</x:f>
        <x:v>0.31977159172019987</x:v>
      </x:c>
      <x:c r="G6" s="38" t="n">
        <x:v>105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48" t="n">
        <x:v>0.95</x:v>
      </x:c>
      <x:c r="B7" s="24" t="n">
        <x:v>2653</x:v>
      </x:c>
      <x:c r="C7" s="24" t="n">
        <x:v>5602</x:v>
      </x:c>
      <x:c r="D7" s="24" t="n">
        <x:v>1181</x:v>
      </x:c>
      <x:c r="E7" s="20" t="n">
        <x:f>C7/B7</x:f>
        <x:v>2.111571805503204</x:v>
      </x:c>
      <x:c r="F7" s="22" t="n">
        <x:f>D7/B7</x:f>
        <x:v>0.4451564266867697</x:v>
      </x:c>
      <x:c r="G7" s="2" t="n">
        <x:v>168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50" t="n">
        <x:v>1</x:v>
      </x:c>
      <x:c r="B8" s="39" t="n">
        <x:v>1074</x:v>
      </x:c>
      <x:c r="C8" s="39" t="n">
        <x:v>2881</x:v>
      </x:c>
      <x:c r="D8" s="39" t="n">
        <x:v>375</x:v>
      </x:c>
      <x:c r="E8" s="40" t="n">
        <x:f>C8/B8</x:f>
        <x:v>2.682495344506518</x:v>
      </x:c>
      <x:c r="F8" s="41" t="n">
        <x:f>D8/B8</x:f>
        <x:v>0.34916201117318435</x:v>
      </x:c>
      <x:c r="G8" s="38" t="n">
        <x:v>101</x:v>
      </x:c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29" t="str">
        <x:v>TOTAL</x:v>
      </x:c>
      <x:c r="B10" s="29" t="n">
        <x:f>SUM(B4:B8)</x:f>
        <x:v>20190</x:v>
      </x:c>
      <x:c r="C10" s="29" t="n">
        <x:f>SUM(C4:C8)</x:f>
        <x:v>57752</x:v>
      </x:c>
      <x:c r="D10" s="29" t="n">
        <x:f>SUM(D4:D8)</x:f>
        <x:v>6308</x:v>
      </x:c>
      <x:c r="E10" s="30" t="n">
        <x:f>C10/B10</x:f>
        <x:v>2.860425953442298</x:v>
      </x:c>
      <x:c r="F10" s="31" t="n">
        <x:f>D10/B10</x:f>
        <x:v>0.31243189697870233</x:v>
      </x:c>
      <x:c r="G10" s="29" t="n">
        <x:f>SUM(G4:G8)</x:f>
        <x:v>1851</x:v>
      </x:c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7" hidden="0" customWidth="1"/>
    <x:col min="5" max="5" width="17" hidden="0" customWidth="1"/>
    <x:col min="6" max="6" width="13" hidden="0" customWidth="1"/>
    <x:col min="7" max="7" width="14" hidden="0" customWidth="1"/>
    <x:col min="8" max="8" width="15" hidden="0" customWidth="1"/>
  </x:cols>
  <x:sheetData>
    <x:row r="1" ht="36" customHeight="1">
      <x:c r="A1" s="90" t="str">
        <x:v>SAMPLE RECORDS | 150 OF 20,190 HISTORICAL OBSERVATIONS</x:v>
      </x:c>
      <x:c r="B1" s="90"/>
      <x:c r="C1" s="90"/>
      <x:c r="D1" s="90"/>
      <x:c r="E1" s="90"/>
      <x:c r="F1" s="90"/>
      <x:c r="G1" s="90"/>
      <x:c r="H1" s="90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11" t="str">
        <x:v>Full prepared dataset: data/visits_clean.csv  •  Sample is deterministic (random seed 42)</x:v>
      </x:c>
      <x:c r="B2" s="11"/>
      <x:c r="C2" s="11"/>
      <x:c r="D2" s="11"/>
      <x:c r="E2" s="11"/>
      <x:c r="F2" s="11"/>
      <x:c r="G2" s="11"/>
      <x:c r="H2" s="11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15" t="str">
        <x:v>Record #</x:v>
      </x:c>
      <x:c r="B3" s="15" t="str">
        <x:v>MD visits</x:v>
      </x:c>
      <x:c r="C3" s="15" t="str">
        <x:v>Health status</x:v>
      </x:c>
      <x:c r="D3" s="15" t="str">
        <x:v>Coinsurance %</x:v>
      </x:c>
      <x:c r="E3" s="15" t="str">
        <x:v>Deductible plan</x:v>
      </x:c>
      <x:c r="F3" s="15" t="str">
        <x:v>Had visit</x:v>
      </x:c>
      <x:c r="G3" s="15" t="str">
        <x:v>8+ visits</x:v>
      </x:c>
      <x:c r="H3" s="15" t="str">
        <x:v>Visit band</x:v>
      </x:c>
      <x:c r="I3" s="2"/>
      <x:c r="J3" s="2"/>
      <x:c r="K3" s="2"/>
      <x:c r="L3" s="2"/>
      <x:c r="M3" s="2"/>
      <x:c r="N3" s="2"/>
      <x:c r="O3" s="2"/>
      <x:c r="P3" s="2"/>
    </x:row>
    <x:row r="4">
      <x:c r="A4" s="2" t="n">
        <x:v>35</x:v>
      </x:c>
      <x:c r="B4" s="2" t="n">
        <x:v>0</x:v>
      </x:c>
      <x:c r="C4" s="2" t="str">
        <x:v>Good</x:v>
      </x:c>
      <x:c r="D4" s="48" t="n">
        <x:v>0</x:v>
      </x:c>
      <x:c r="E4" s="2" t="n">
        <x:v>1</x:v>
      </x:c>
      <x:c r="F4" s="2" t="n">
        <x:v>0</x:v>
      </x:c>
      <x:c r="G4" s="2" t="n">
        <x:v>0</x:v>
      </x:c>
      <x:c r="H4" s="2" t="str">
        <x:v>0</x:v>
      </x:c>
      <x:c r="I4" s="2"/>
      <x:c r="J4" s="2"/>
      <x:c r="K4" s="2"/>
      <x:c r="L4" s="2"/>
      <x:c r="M4" s="2"/>
      <x:c r="N4" s="2"/>
      <x:c r="O4" s="2"/>
      <x:c r="P4" s="2"/>
    </x:row>
    <x:row r="5">
      <x:c r="A5" s="2" t="n">
        <x:v>120</x:v>
      </x:c>
      <x:c r="B5" s="2" t="n">
        <x:v>4</x:v>
      </x:c>
      <x:c r="C5" s="2" t="str">
        <x:v>Good</x:v>
      </x:c>
      <x:c r="D5" s="48" t="n">
        <x:v>1</x:v>
      </x:c>
      <x:c r="E5" s="2" t="n">
        <x:v>1</x:v>
      </x:c>
      <x:c r="F5" s="2" t="n">
        <x:v>1</x:v>
      </x:c>
      <x:c r="G5" s="2" t="n">
        <x:v>0</x:v>
      </x:c>
      <x:c r="H5" s="2" t="str">
        <x:v>3-5</x:v>
      </x:c>
      <x:c r="I5" s="2"/>
      <x:c r="J5" s="2"/>
      <x:c r="K5" s="2"/>
      <x:c r="L5" s="2"/>
      <x:c r="M5" s="2"/>
      <x:c r="N5" s="2"/>
      <x:c r="O5" s="2"/>
      <x:c r="P5" s="2"/>
    </x:row>
    <x:row r="6">
      <x:c r="A6" s="2" t="n">
        <x:v>219</x:v>
      </x:c>
      <x:c r="B6" s="2" t="n">
        <x:v>9</x:v>
      </x:c>
      <x:c r="C6" s="2" t="str">
        <x:v>Excellent</x:v>
      </x:c>
      <x:c r="D6" s="48" t="n">
        <x:v>0</x:v>
      </x:c>
      <x:c r="E6" s="2" t="n">
        <x:v>0</x:v>
      </x:c>
      <x:c r="F6" s="2" t="n">
        <x:v>1</x:v>
      </x:c>
      <x:c r="G6" s="2" t="n">
        <x:v>1</x:v>
      </x:c>
      <x:c r="H6" s="2" t="str">
        <x:v>6-10</x:v>
      </x:c>
      <x:c r="I6" s="2"/>
      <x:c r="J6" s="2"/>
      <x:c r="K6" s="2"/>
      <x:c r="L6" s="2"/>
      <x:c r="M6" s="2"/>
      <x:c r="N6" s="2"/>
      <x:c r="O6" s="2"/>
      <x:c r="P6" s="2"/>
    </x:row>
    <x:row r="7">
      <x:c r="A7" s="2" t="n">
        <x:v>452</x:v>
      </x:c>
      <x:c r="B7" s="2" t="n">
        <x:v>4</x:v>
      </x:c>
      <x:c r="C7" s="2" t="str">
        <x:v>Fair</x:v>
      </x:c>
      <x:c r="D7" s="48" t="n">
        <x:v>1</x:v>
      </x:c>
      <x:c r="E7" s="2" t="n">
        <x:v>1</x:v>
      </x:c>
      <x:c r="F7" s="2" t="n">
        <x:v>1</x:v>
      </x:c>
      <x:c r="G7" s="2" t="n">
        <x:v>0</x:v>
      </x:c>
      <x:c r="H7" s="2" t="str">
        <x:v>3-5</x:v>
      </x:c>
      <x:c r="I7" s="2"/>
      <x:c r="J7" s="2"/>
      <x:c r="K7" s="2"/>
      <x:c r="L7" s="2"/>
      <x:c r="M7" s="2"/>
      <x:c r="N7" s="2"/>
      <x:c r="O7" s="2"/>
      <x:c r="P7" s="2"/>
    </x:row>
    <x:row r="8">
      <x:c r="A8" s="2" t="n">
        <x:v>475</x:v>
      </x:c>
      <x:c r="B8" s="2" t="n">
        <x:v>1</x:v>
      </x:c>
      <x:c r="C8" s="2" t="str">
        <x:v>Fair</x:v>
      </x:c>
      <x:c r="D8" s="48" t="n">
        <x:v>1</x:v>
      </x:c>
      <x:c r="E8" s="2" t="n">
        <x:v>1</x:v>
      </x:c>
      <x:c r="F8" s="2" t="n">
        <x:v>1</x:v>
      </x:c>
      <x:c r="G8" s="2" t="n">
        <x:v>0</x:v>
      </x:c>
      <x:c r="H8" s="2" t="str">
        <x:v>1-2</x:v>
      </x:c>
      <x:c r="I8" s="2"/>
      <x:c r="J8" s="2"/>
      <x:c r="K8" s="2"/>
      <x:c r="L8" s="2"/>
      <x:c r="M8" s="2"/>
      <x:c r="N8" s="2"/>
      <x:c r="O8" s="2"/>
      <x:c r="P8" s="2"/>
    </x:row>
    <x:row r="9">
      <x:c r="A9" s="2" t="n">
        <x:v>804</x:v>
      </x:c>
      <x:c r="B9" s="2" t="n">
        <x:v>2</x:v>
      </x:c>
      <x:c r="C9" s="2" t="str">
        <x:v>Good</x:v>
      </x:c>
      <x:c r="D9" s="48" t="n">
        <x:v>0.5</x:v>
      </x:c>
      <x:c r="E9" s="2" t="n">
        <x:v>0</x:v>
      </x:c>
      <x:c r="F9" s="2" t="n">
        <x:v>1</x:v>
      </x:c>
      <x:c r="G9" s="2" t="n">
        <x:v>0</x:v>
      </x:c>
      <x:c r="H9" s="2" t="str">
        <x:v>1-2</x:v>
      </x:c>
      <x:c r="I9" s="2"/>
      <x:c r="J9" s="2"/>
      <x:c r="K9" s="2"/>
      <x:c r="L9" s="2"/>
      <x:c r="M9" s="2"/>
      <x:c r="N9" s="2"/>
      <x:c r="O9" s="2"/>
      <x:c r="P9" s="2"/>
    </x:row>
    <x:row r="10">
      <x:c r="A10" s="2" t="n">
        <x:v>929</x:v>
      </x:c>
      <x:c r="B10" s="2" t="n">
        <x:v>1</x:v>
      </x:c>
      <x:c r="C10" s="2" t="str">
        <x:v>Excellent</x:v>
      </x:c>
      <x:c r="D10" s="48" t="n">
        <x:v>0.25</x:v>
      </x:c>
      <x:c r="E10" s="2" t="n">
        <x:v>0</x:v>
      </x:c>
      <x:c r="F10" s="2" t="n">
        <x:v>1</x:v>
      </x:c>
      <x:c r="G10" s="2" t="n">
        <x:v>0</x:v>
      </x:c>
      <x:c r="H10" s="2" t="str">
        <x:v>1-2</x:v>
      </x:c>
      <x:c r="I10" s="2"/>
      <x:c r="J10" s="2"/>
      <x:c r="K10" s="2"/>
      <x:c r="L10" s="2"/>
      <x:c r="M10" s="2"/>
      <x:c r="N10" s="2"/>
      <x:c r="O10" s="2"/>
      <x:c r="P10" s="2"/>
    </x:row>
    <x:row r="11">
      <x:c r="A11" s="2" t="n">
        <x:v>937</x:v>
      </x:c>
      <x:c r="B11" s="2" t="n">
        <x:v>0</x:v>
      </x:c>
      <x:c r="C11" s="2" t="str">
        <x:v>Good</x:v>
      </x:c>
      <x:c r="D11" s="48" t="n">
        <x:v>1</x:v>
      </x:c>
      <x:c r="E11" s="2" t="n">
        <x:v>1</x:v>
      </x:c>
      <x:c r="F11" s="2" t="n">
        <x:v>0</x:v>
      </x:c>
      <x:c r="G11" s="2" t="n">
        <x:v>0</x:v>
      </x:c>
      <x:c r="H11" s="2" t="str">
        <x:v>0</x:v>
      </x:c>
      <x:c r="I11" s="2"/>
      <x:c r="J11" s="2"/>
      <x:c r="K11" s="2"/>
      <x:c r="L11" s="2"/>
      <x:c r="M11" s="2"/>
      <x:c r="N11" s="2"/>
      <x:c r="O11" s="2"/>
      <x:c r="P11" s="2"/>
    </x:row>
    <x:row r="12">
      <x:c r="A12" s="2" t="n">
        <x:v>1273</x:v>
      </x:c>
      <x:c r="B12" s="2" t="n">
        <x:v>10</x:v>
      </x:c>
      <x:c r="C12" s="2" t="str">
        <x:v>Fair</x:v>
      </x:c>
      <x:c r="D12" s="48" t="n">
        <x:v>0.25</x:v>
      </x:c>
      <x:c r="E12" s="2" t="n">
        <x:v>0</x:v>
      </x:c>
      <x:c r="F12" s="2" t="n">
        <x:v>1</x:v>
      </x:c>
      <x:c r="G12" s="2" t="n">
        <x:v>1</x:v>
      </x:c>
      <x:c r="H12" s="2" t="str">
        <x:v>6-10</x:v>
      </x:c>
      <x:c r="I12" s="2"/>
      <x:c r="J12" s="2"/>
      <x:c r="K12" s="2"/>
      <x:c r="L12" s="2"/>
      <x:c r="M12" s="2"/>
      <x:c r="N12" s="2"/>
      <x:c r="O12" s="2"/>
      <x:c r="P12" s="2"/>
    </x:row>
    <x:row r="13">
      <x:c r="A13" s="2" t="n">
        <x:v>1476</x:v>
      </x:c>
      <x:c r="B13" s="2" t="n">
        <x:v>4</x:v>
      </x:c>
      <x:c r="C13" s="2" t="str">
        <x:v>Good</x:v>
      </x:c>
      <x:c r="D13" s="48" t="n">
        <x:v>0</x:v>
      </x:c>
      <x:c r="E13" s="2" t="n">
        <x:v>0</x:v>
      </x:c>
      <x:c r="F13" s="2" t="n">
        <x:v>1</x:v>
      </x:c>
      <x:c r="G13" s="2" t="n">
        <x:v>0</x:v>
      </x:c>
      <x:c r="H13" s="2" t="str">
        <x:v>3-5</x:v>
      </x:c>
      <x:c r="I13" s="2"/>
      <x:c r="J13" s="2"/>
      <x:c r="K13" s="2"/>
      <x:c r="L13" s="2"/>
      <x:c r="M13" s="2"/>
      <x:c r="N13" s="2"/>
      <x:c r="O13" s="2"/>
      <x:c r="P13" s="2"/>
    </x:row>
    <x:row r="14">
      <x:c r="A14" s="2" t="n">
        <x:v>1871</x:v>
      </x:c>
      <x:c r="B14" s="2" t="n">
        <x:v>1</x:v>
      </x:c>
      <x:c r="C14" s="2" t="str">
        <x:v>Fair</x:v>
      </x:c>
      <x:c r="D14" s="48" t="n">
        <x:v>0.25</x:v>
      </x:c>
      <x:c r="E14" s="2" t="n">
        <x:v>0</x:v>
      </x:c>
      <x:c r="F14" s="2" t="n">
        <x:v>1</x:v>
      </x:c>
      <x:c r="G14" s="2" t="n">
        <x:v>0</x:v>
      </x:c>
      <x:c r="H14" s="2" t="str">
        <x:v>1-2</x:v>
      </x:c>
      <x:c r="I14" s="2"/>
      <x:c r="J14" s="2"/>
      <x:c r="K14" s="2"/>
      <x:c r="L14" s="2"/>
      <x:c r="M14" s="2"/>
      <x:c r="N14" s="2"/>
      <x:c r="O14" s="2"/>
      <x:c r="P14" s="2"/>
    </x:row>
    <x:row r="15">
      <x:c r="A15" s="2" t="n">
        <x:v>2236</x:v>
      </x:c>
      <x:c r="B15" s="2" t="n">
        <x:v>0</x:v>
      </x:c>
      <x:c r="C15" s="2" t="str">
        <x:v>Excellent</x:v>
      </x:c>
      <x:c r="D15" s="48" t="n">
        <x:v>0.25</x:v>
      </x:c>
      <x:c r="E15" s="2" t="n">
        <x:v>0</x:v>
      </x:c>
      <x:c r="F15" s="2" t="n">
        <x:v>0</x:v>
      </x:c>
      <x:c r="G15" s="2" t="n">
        <x:v>0</x:v>
      </x:c>
      <x:c r="H15" s="2" t="str">
        <x:v>0</x:v>
      </x:c>
      <x:c r="I15" s="2"/>
      <x:c r="J15" s="2"/>
      <x:c r="K15" s="2"/>
      <x:c r="L15" s="2"/>
      <x:c r="M15" s="2"/>
      <x:c r="N15" s="2"/>
      <x:c r="O15" s="2"/>
      <x:c r="P15" s="2"/>
    </x:row>
    <x:row r="16">
      <x:c r="A16" s="2" t="n">
        <x:v>2413</x:v>
      </x:c>
      <x:c r="B16" s="2" t="n">
        <x:v>0</x:v>
      </x:c>
      <x:c r="C16" s="2" t="str">
        <x:v>Excellent</x:v>
      </x:c>
      <x:c r="D16" s="48" t="n">
        <x:v>1</x:v>
      </x:c>
      <x:c r="E16" s="2" t="n">
        <x:v>1</x:v>
      </x:c>
      <x:c r="F16" s="2" t="n">
        <x:v>0</x:v>
      </x:c>
      <x:c r="G16" s="2" t="n">
        <x:v>0</x:v>
      </x:c>
      <x:c r="H16" s="2" t="str">
        <x:v>0</x:v>
      </x:c>
      <x:c r="I16" s="2"/>
      <x:c r="J16" s="2"/>
      <x:c r="K16" s="2"/>
      <x:c r="L16" s="2"/>
      <x:c r="M16" s="2"/>
      <x:c r="N16" s="2"/>
      <x:c r="O16" s="2"/>
      <x:c r="P16" s="2"/>
    </x:row>
    <x:row r="17">
      <x:c r="A17" s="2" t="n">
        <x:v>2584</x:v>
      </x:c>
      <x:c r="B17" s="2" t="n">
        <x:v>6</x:v>
      </x:c>
      <x:c r="C17" s="2" t="str">
        <x:v>Good</x:v>
      </x:c>
      <x:c r="D17" s="48" t="n">
        <x:v>0.25</x:v>
      </x:c>
      <x:c r="E17" s="2" t="n">
        <x:v>0</x:v>
      </x:c>
      <x:c r="F17" s="2" t="n">
        <x:v>1</x:v>
      </x:c>
      <x:c r="G17" s="2" t="n">
        <x:v>0</x:v>
      </x:c>
      <x:c r="H17" s="2" t="str">
        <x:v>6-10</x:v>
      </x:c>
      <x:c r="I17" s="2"/>
      <x:c r="J17" s="2"/>
      <x:c r="K17" s="2"/>
      <x:c r="L17" s="2"/>
      <x:c r="M17" s="2"/>
      <x:c r="N17" s="2"/>
      <x:c r="O17" s="2"/>
      <x:c r="P17" s="2"/>
    </x:row>
    <x:row r="18">
      <x:c r="A18" s="2" t="n">
        <x:v>2916</x:v>
      </x:c>
      <x:c r="B18" s="2" t="n">
        <x:v>2</x:v>
      </x:c>
      <x:c r="C18" s="2" t="str">
        <x:v>Good</x:v>
      </x:c>
      <x:c r="D18" s="48" t="n">
        <x:v>0</x:v>
      </x:c>
      <x:c r="E18" s="2" t="n">
        <x:v>0</x:v>
      </x:c>
      <x:c r="F18" s="2" t="n">
        <x:v>1</x:v>
      </x:c>
      <x:c r="G18" s="2" t="n">
        <x:v>0</x:v>
      </x:c>
      <x:c r="H18" s="2" t="str">
        <x:v>1-2</x:v>
      </x:c>
      <x:c r="I18" s="2"/>
      <x:c r="J18" s="2"/>
      <x:c r="K18" s="2"/>
      <x:c r="L18" s="2"/>
      <x:c r="M18" s="2"/>
      <x:c r="N18" s="2"/>
      <x:c r="O18" s="2"/>
      <x:c r="P18" s="2"/>
    </x:row>
    <x:row r="19">
      <x:c r="A19" s="2" t="n">
        <x:v>3336</x:v>
      </x:c>
      <x:c r="B19" s="2" t="n">
        <x:v>0</x:v>
      </x:c>
      <x:c r="C19" s="2" t="str">
        <x:v>Poor</x:v>
      </x:c>
      <x:c r="D19" s="48" t="n">
        <x:v>0.5</x:v>
      </x:c>
      <x:c r="E19" s="2" t="n">
        <x:v>0</x:v>
      </x:c>
      <x:c r="F19" s="2" t="n">
        <x:v>0</x:v>
      </x:c>
      <x:c r="G19" s="2" t="n">
        <x:v>0</x:v>
      </x:c>
      <x:c r="H19" s="2" t="str">
        <x:v>0</x:v>
      </x:c>
      <x:c r="I19" s="2"/>
      <x:c r="J19" s="2"/>
      <x:c r="K19" s="2"/>
      <x:c r="L19" s="2"/>
      <x:c r="M19" s="2"/>
      <x:c r="N19" s="2"/>
      <x:c r="O19" s="2"/>
      <x:c r="P19" s="2"/>
    </x:row>
    <x:row r="20">
      <x:c r="A20" s="2" t="n">
        <x:v>3367</x:v>
      </x:c>
      <x:c r="B20" s="2" t="n">
        <x:v>1</x:v>
      </x:c>
      <x:c r="C20" s="2" t="str">
        <x:v>Good</x:v>
      </x:c>
      <x:c r="D20" s="48" t="n">
        <x:v>0.25</x:v>
      </x:c>
      <x:c r="E20" s="2" t="n">
        <x:v>0</x:v>
      </x:c>
      <x:c r="F20" s="2" t="n">
        <x:v>1</x:v>
      </x:c>
      <x:c r="G20" s="2" t="n">
        <x:v>0</x:v>
      </x:c>
      <x:c r="H20" s="2" t="str">
        <x:v>1-2</x:v>
      </x:c>
      <x:c r="I20" s="2"/>
      <x:c r="J20" s="2"/>
      <x:c r="K20" s="2"/>
      <x:c r="L20" s="2"/>
      <x:c r="M20" s="2"/>
      <x:c r="N20" s="2"/>
      <x:c r="O20" s="2"/>
      <x:c r="P20" s="2"/>
    </x:row>
    <x:row r="21">
      <x:c r="A21" s="2" t="n">
        <x:v>3416</x:v>
      </x:c>
      <x:c r="B21" s="2" t="n">
        <x:v>1</x:v>
      </x:c>
      <x:c r="C21" s="2" t="str">
        <x:v>Excellent</x:v>
      </x:c>
      <x:c r="D21" s="48" t="n">
        <x:v>0.5</x:v>
      </x:c>
      <x:c r="E21" s="2" t="n">
        <x:v>0</x:v>
      </x:c>
      <x:c r="F21" s="2" t="n">
        <x:v>1</x:v>
      </x:c>
      <x:c r="G21" s="2" t="n">
        <x:v>0</x:v>
      </x:c>
      <x:c r="H21" s="2" t="str">
        <x:v>1-2</x:v>
      </x:c>
      <x:c r="I21" s="2"/>
      <x:c r="J21" s="2"/>
      <x:c r="K21" s="2"/>
      <x:c r="L21" s="2"/>
      <x:c r="M21" s="2"/>
      <x:c r="N21" s="2"/>
      <x:c r="O21" s="2"/>
      <x:c r="P21" s="2"/>
    </x:row>
    <x:row r="22">
      <x:c r="A22" s="2" t="n">
        <x:v>3426</x:v>
      </x:c>
      <x:c r="B22" s="2" t="n">
        <x:v>4</x:v>
      </x:c>
      <x:c r="C22" s="2" t="str">
        <x:v>Excellent</x:v>
      </x:c>
      <x:c r="D22" s="48" t="n">
        <x:v>0.5</x:v>
      </x:c>
      <x:c r="E22" s="2" t="n">
        <x:v>0</x:v>
      </x:c>
      <x:c r="F22" s="2" t="n">
        <x:v>1</x:v>
      </x:c>
      <x:c r="G22" s="2" t="n">
        <x:v>0</x:v>
      </x:c>
      <x:c r="H22" s="2" t="str">
        <x:v>3-5</x:v>
      </x:c>
      <x:c r="I22" s="2"/>
      <x:c r="J22" s="2"/>
      <x:c r="K22" s="2"/>
      <x:c r="L22" s="2"/>
      <x:c r="M22" s="2"/>
      <x:c r="N22" s="2"/>
      <x:c r="O22" s="2"/>
      <x:c r="P22" s="2"/>
    </x:row>
    <x:row r="23">
      <x:c r="A23" s="2" t="n">
        <x:v>3523</x:v>
      </x:c>
      <x:c r="B23" s="2" t="n">
        <x:v>4</x:v>
      </x:c>
      <x:c r="C23" s="2" t="str">
        <x:v>Excellent</x:v>
      </x:c>
      <x:c r="D23" s="48" t="n">
        <x:v>0</x:v>
      </x:c>
      <x:c r="E23" s="2" t="n">
        <x:v>0</x:v>
      </x:c>
      <x:c r="F23" s="2" t="n">
        <x:v>1</x:v>
      </x:c>
      <x:c r="G23" s="2" t="n">
        <x:v>0</x:v>
      </x:c>
      <x:c r="H23" s="2" t="str">
        <x:v>3-5</x:v>
      </x:c>
      <x:c r="I23" s="2"/>
      <x:c r="J23" s="2"/>
      <x:c r="K23" s="2"/>
      <x:c r="L23" s="2"/>
      <x:c r="M23" s="2"/>
      <x:c r="N23" s="2"/>
      <x:c r="O23" s="2"/>
      <x:c r="P23" s="2"/>
    </x:row>
    <x:row r="24">
      <x:c r="A24" s="2" t="n">
        <x:v>3573</x:v>
      </x:c>
      <x:c r="B24" s="2" t="n">
        <x:v>7</x:v>
      </x:c>
      <x:c r="C24" s="2" t="str">
        <x:v>Good</x:v>
      </x:c>
      <x:c r="D24" s="48" t="n">
        <x:v>0.5</x:v>
      </x:c>
      <x:c r="E24" s="2" t="n">
        <x:v>0</x:v>
      </x:c>
      <x:c r="F24" s="2" t="n">
        <x:v>1</x:v>
      </x:c>
      <x:c r="G24" s="2" t="n">
        <x:v>0</x:v>
      </x:c>
      <x:c r="H24" s="2" t="str">
        <x:v>6-10</x:v>
      </x:c>
      <x:c r="I24" s="2"/>
      <x:c r="J24" s="2"/>
      <x:c r="K24" s="2"/>
      <x:c r="L24" s="2"/>
      <x:c r="M24" s="2"/>
      <x:c r="N24" s="2"/>
      <x:c r="O24" s="2"/>
      <x:c r="P24" s="2"/>
    </x:row>
    <x:row r="25">
      <x:c r="A25" s="2" t="n">
        <x:v>3644</x:v>
      </x:c>
      <x:c r="B25" s="2" t="n">
        <x:v>1</x:v>
      </x:c>
      <x:c r="C25" s="2" t="str">
        <x:v>Excellent</x:v>
      </x:c>
      <x:c r="D25" s="48" t="n">
        <x:v>0.25</x:v>
      </x:c>
      <x:c r="E25" s="2" t="n">
        <x:v>0</x:v>
      </x:c>
      <x:c r="F25" s="2" t="n">
        <x:v>1</x:v>
      </x:c>
      <x:c r="G25" s="2" t="n">
        <x:v>0</x:v>
      </x:c>
      <x:c r="H25" s="2" t="str">
        <x:v>1-2</x:v>
      </x:c>
      <x:c r="I25" s="2"/>
      <x:c r="J25" s="2"/>
      <x:c r="K25" s="2"/>
      <x:c r="L25" s="2"/>
      <x:c r="M25" s="2"/>
      <x:c r="N25" s="2"/>
      <x:c r="O25" s="2"/>
      <x:c r="P25" s="2"/>
    </x:row>
    <x:row r="26">
      <x:c r="A26" s="2" t="n">
        <x:v>3753</x:v>
      </x:c>
      <x:c r="B26" s="2" t="n">
        <x:v>0</x:v>
      </x:c>
      <x:c r="C26" s="2" t="str">
        <x:v>Excellent</x:v>
      </x:c>
      <x:c r="D26" s="48" t="n">
        <x:v>0</x:v>
      </x:c>
      <x:c r="E26" s="2" t="n">
        <x:v>0</x:v>
      </x:c>
      <x:c r="F26" s="2" t="n">
        <x:v>0</x:v>
      </x:c>
      <x:c r="G26" s="2" t="n">
        <x:v>0</x:v>
      </x:c>
      <x:c r="H26" s="2" t="str">
        <x:v>0</x:v>
      </x:c>
      <x:c r="I26" s="2"/>
      <x:c r="J26" s="2"/>
      <x:c r="K26" s="2"/>
      <x:c r="L26" s="2"/>
      <x:c r="M26" s="2"/>
      <x:c r="N26" s="2"/>
      <x:c r="O26" s="2"/>
      <x:c r="P26" s="2"/>
    </x:row>
    <x:row r="27">
      <x:c r="A27" s="2" t="n">
        <x:v>3949</x:v>
      </x:c>
      <x:c r="B27" s="2" t="n">
        <x:v>7</x:v>
      </x:c>
      <x:c r="C27" s="2" t="str">
        <x:v>Excellent</x:v>
      </x:c>
      <x:c r="D27" s="48" t="n">
        <x:v>0</x:v>
      </x:c>
      <x:c r="E27" s="2" t="n">
        <x:v>0</x:v>
      </x:c>
      <x:c r="F27" s="2" t="n">
        <x:v>1</x:v>
      </x:c>
      <x:c r="G27" s="2" t="n">
        <x:v>0</x:v>
      </x:c>
      <x:c r="H27" s="2" t="str">
        <x:v>6-10</x:v>
      </x:c>
      <x:c r="I27" s="2"/>
      <x:c r="J27" s="2"/>
      <x:c r="K27" s="2"/>
      <x:c r="L27" s="2"/>
      <x:c r="M27" s="2"/>
      <x:c r="N27" s="2"/>
      <x:c r="O27" s="2"/>
      <x:c r="P27" s="2"/>
    </x:row>
    <x:row r="28">
      <x:c r="A28" s="2" t="n">
        <x:v>4190</x:v>
      </x:c>
      <x:c r="B28" s="2" t="n">
        <x:v>4</x:v>
      </x:c>
      <x:c r="C28" s="2" t="str">
        <x:v>Excellent</x:v>
      </x:c>
      <x:c r="D28" s="48" t="n">
        <x:v>0.5</x:v>
      </x:c>
      <x:c r="E28" s="2" t="n">
        <x:v>0</x:v>
      </x:c>
      <x:c r="F28" s="2" t="n">
        <x:v>1</x:v>
      </x:c>
      <x:c r="G28" s="2" t="n">
        <x:v>0</x:v>
      </x:c>
      <x:c r="H28" s="2" t="str">
        <x:v>3-5</x:v>
      </x:c>
      <x:c r="I28" s="2"/>
      <x:c r="J28" s="2"/>
      <x:c r="K28" s="2"/>
      <x:c r="L28" s="2"/>
      <x:c r="M28" s="2"/>
      <x:c r="N28" s="2"/>
      <x:c r="O28" s="2"/>
      <x:c r="P28" s="2"/>
    </x:row>
    <x:row r="29">
      <x:c r="A29" s="2" t="n">
        <x:v>4220</x:v>
      </x:c>
      <x:c r="B29" s="2" t="n">
        <x:v>0</x:v>
      </x:c>
      <x:c r="C29" s="2" t="str">
        <x:v>Excellent</x:v>
      </x:c>
      <x:c r="D29" s="48" t="n">
        <x:v>0.5</x:v>
      </x:c>
      <x:c r="E29" s="2" t="n">
        <x:v>0</x:v>
      </x:c>
      <x:c r="F29" s="2" t="n">
        <x:v>0</x:v>
      </x:c>
      <x:c r="G29" s="2" t="n">
        <x:v>0</x:v>
      </x:c>
      <x:c r="H29" s="2" t="str">
        <x:v>0</x:v>
      </x:c>
      <x:c r="I29" s="2"/>
      <x:c r="J29" s="2"/>
      <x:c r="K29" s="2"/>
      <x:c r="L29" s="2"/>
      <x:c r="M29" s="2"/>
      <x:c r="N29" s="2"/>
      <x:c r="O29" s="2"/>
      <x:c r="P29" s="2"/>
    </x:row>
    <x:row r="30">
      <x:c r="A30" s="2" t="n">
        <x:v>4230</x:v>
      </x:c>
      <x:c r="B30" s="2" t="n">
        <x:v>0</x:v>
      </x:c>
      <x:c r="C30" s="2" t="str">
        <x:v>Good</x:v>
      </x:c>
      <x:c r="D30" s="48" t="n">
        <x:v>0.5</x:v>
      </x:c>
      <x:c r="E30" s="2" t="n">
        <x:v>0</x:v>
      </x:c>
      <x:c r="F30" s="2" t="n">
        <x:v>0</x:v>
      </x:c>
      <x:c r="G30" s="2" t="n">
        <x:v>0</x:v>
      </x:c>
      <x:c r="H30" s="2" t="str">
        <x:v>0</x:v>
      </x:c>
      <x:c r="I30" s="2"/>
      <x:c r="J30" s="2"/>
      <x:c r="K30" s="2"/>
      <x:c r="L30" s="2"/>
      <x:c r="M30" s="2"/>
      <x:c r="N30" s="2"/>
      <x:c r="O30" s="2"/>
      <x:c r="P30" s="2"/>
    </x:row>
    <x:row r="31">
      <x:c r="A31" s="2" t="n">
        <x:v>4266</x:v>
      </x:c>
      <x:c r="B31" s="2" t="n">
        <x:v>0</x:v>
      </x:c>
      <x:c r="C31" s="2" t="str">
        <x:v>Excellent</x:v>
      </x:c>
      <x:c r="D31" s="48" t="n">
        <x:v>1</x:v>
      </x:c>
      <x:c r="E31" s="2" t="n">
        <x:v>1</x:v>
      </x:c>
      <x:c r="F31" s="2" t="n">
        <x:v>0</x:v>
      </x:c>
      <x:c r="G31" s="2" t="n">
        <x:v>0</x:v>
      </x:c>
      <x:c r="H31" s="2" t="str">
        <x:v>0</x:v>
      </x:c>
      <x:c r="I31" s="2"/>
      <x:c r="J31" s="2"/>
      <x:c r="K31" s="2"/>
      <x:c r="L31" s="2"/>
      <x:c r="M31" s="2"/>
      <x:c r="N31" s="2"/>
      <x:c r="O31" s="2"/>
      <x:c r="P31" s="2"/>
    </x:row>
    <x:row r="32">
      <x:c r="A32" s="2" t="n">
        <x:v>4352</x:v>
      </x:c>
      <x:c r="B32" s="2" t="n">
        <x:v>7</x:v>
      </x:c>
      <x:c r="C32" s="2" t="str">
        <x:v>Excellent</x:v>
      </x:c>
      <x:c r="D32" s="48" t="n">
        <x:v>0</x:v>
      </x:c>
      <x:c r="E32" s="2" t="n">
        <x:v>0</x:v>
      </x:c>
      <x:c r="F32" s="2" t="n">
        <x:v>1</x:v>
      </x:c>
      <x:c r="G32" s="2" t="n">
        <x:v>0</x:v>
      </x:c>
      <x:c r="H32" s="2" t="str">
        <x:v>6-10</x:v>
      </x:c>
      <x:c r="I32" s="2"/>
      <x:c r="J32" s="2"/>
      <x:c r="K32" s="2"/>
      <x:c r="L32" s="2"/>
      <x:c r="M32" s="2"/>
      <x:c r="N32" s="2"/>
      <x:c r="O32" s="2"/>
      <x:c r="P32" s="2"/>
    </x:row>
    <x:row r="33">
      <x:c r="A33" s="2" t="n">
        <x:v>4510</x:v>
      </x:c>
      <x:c r="B33" s="2" t="n">
        <x:v>6</x:v>
      </x:c>
      <x:c r="C33" s="2" t="str">
        <x:v>Excellent</x:v>
      </x:c>
      <x:c r="D33" s="48" t="n">
        <x:v>0</x:v>
      </x:c>
      <x:c r="E33" s="2" t="n">
        <x:v>0</x:v>
      </x:c>
      <x:c r="F33" s="2" t="n">
        <x:v>1</x:v>
      </x:c>
      <x:c r="G33" s="2" t="n">
        <x:v>0</x:v>
      </x:c>
      <x:c r="H33" s="2" t="str">
        <x:v>6-10</x:v>
      </x:c>
      <x:c r="I33" s="2"/>
      <x:c r="J33" s="2"/>
      <x:c r="K33" s="2"/>
      <x:c r="L33" s="2"/>
      <x:c r="M33" s="2"/>
      <x:c r="N33" s="2"/>
      <x:c r="O33" s="2"/>
      <x:c r="P33" s="2"/>
    </x:row>
    <x:row r="34">
      <x:c r="A34" s="2" t="n">
        <x:v>4541</x:v>
      </x:c>
      <x:c r="B34" s="2" t="n">
        <x:v>3</x:v>
      </x:c>
      <x:c r="C34" s="2" t="str">
        <x:v>Excellent</x:v>
      </x:c>
      <x:c r="D34" s="48" t="n">
        <x:v>0</x:v>
      </x:c>
      <x:c r="E34" s="2" t="n">
        <x:v>0</x:v>
      </x:c>
      <x:c r="F34" s="2" t="n">
        <x:v>1</x:v>
      </x:c>
      <x:c r="G34" s="2" t="n">
        <x:v>0</x:v>
      </x:c>
      <x:c r="H34" s="2" t="str">
        <x:v>3-5</x:v>
      </x:c>
      <x:c r="I34" s="2"/>
      <x:c r="J34" s="2"/>
      <x:c r="K34" s="2"/>
      <x:c r="L34" s="2"/>
      <x:c r="M34" s="2"/>
      <x:c r="N34" s="2"/>
      <x:c r="O34" s="2"/>
      <x:c r="P34" s="2"/>
    </x:row>
    <x:row r="35">
      <x:c r="A35" s="2" t="n">
        <x:v>4703</x:v>
      </x:c>
      <x:c r="B35" s="2" t="n">
        <x:v>5</x:v>
      </x:c>
      <x:c r="C35" s="2" t="str">
        <x:v>Excellent</x:v>
      </x:c>
      <x:c r="D35" s="48" t="n">
        <x:v>0</x:v>
      </x:c>
      <x:c r="E35" s="2" t="n">
        <x:v>0</x:v>
      </x:c>
      <x:c r="F35" s="2" t="n">
        <x:v>1</x:v>
      </x:c>
      <x:c r="G35" s="2" t="n">
        <x:v>0</x:v>
      </x:c>
      <x:c r="H35" s="2" t="str">
        <x:v>3-5</x:v>
      </x:c>
      <x:c r="I35" s="2"/>
      <x:c r="J35" s="2"/>
      <x:c r="K35" s="2"/>
      <x:c r="L35" s="2"/>
      <x:c r="M35" s="2"/>
      <x:c r="N35" s="2"/>
      <x:c r="O35" s="2"/>
      <x:c r="P35" s="2"/>
    </x:row>
    <x:row r="36">
      <x:c r="A36" s="2" t="n">
        <x:v>4922</x:v>
      </x:c>
      <x:c r="B36" s="2" t="n">
        <x:v>4</x:v>
      </x:c>
      <x:c r="C36" s="2" t="str">
        <x:v>Excellent</x:v>
      </x:c>
      <x:c r="D36" s="48" t="n">
        <x:v>0.95</x:v>
      </x:c>
      <x:c r="E36" s="2" t="n">
        <x:v>0</x:v>
      </x:c>
      <x:c r="F36" s="2" t="n">
        <x:v>1</x:v>
      </x:c>
      <x:c r="G36" s="2" t="n">
        <x:v>0</x:v>
      </x:c>
      <x:c r="H36" s="2" t="str">
        <x:v>3-5</x:v>
      </x:c>
      <x:c r="I36" s="2"/>
      <x:c r="J36" s="2"/>
      <x:c r="K36" s="2"/>
      <x:c r="L36" s="2"/>
      <x:c r="M36" s="2"/>
      <x:c r="N36" s="2"/>
      <x:c r="O36" s="2"/>
      <x:c r="P36" s="2"/>
    </x:row>
    <x:row r="37">
      <x:c r="A37" s="2" t="n">
        <x:v>4955</x:v>
      </x:c>
      <x:c r="B37" s="2" t="n">
        <x:v>3</x:v>
      </x:c>
      <x:c r="C37" s="2" t="str">
        <x:v>Good</x:v>
      </x:c>
      <x:c r="D37" s="48" t="n">
        <x:v>0</x:v>
      </x:c>
      <x:c r="E37" s="2" t="n">
        <x:v>0</x:v>
      </x:c>
      <x:c r="F37" s="2" t="n">
        <x:v>1</x:v>
      </x:c>
      <x:c r="G37" s="2" t="n">
        <x:v>0</x:v>
      </x:c>
      <x:c r="H37" s="2" t="str">
        <x:v>3-5</x:v>
      </x:c>
      <x:c r="I37" s="2"/>
      <x:c r="J37" s="2"/>
      <x:c r="K37" s="2"/>
      <x:c r="L37" s="2"/>
      <x:c r="M37" s="2"/>
      <x:c r="N37" s="2"/>
      <x:c r="O37" s="2"/>
      <x:c r="P37" s="2"/>
    </x:row>
    <x:row r="38">
      <x:c r="A38" s="2" t="n">
        <x:v>5226</x:v>
      </x:c>
      <x:c r="B38" s="2" t="n">
        <x:v>5</x:v>
      </x:c>
      <x:c r="C38" s="2" t="str">
        <x:v>Excellent</x:v>
      </x:c>
      <x:c r="D38" s="48" t="n">
        <x:v>0.95</x:v>
      </x:c>
      <x:c r="E38" s="2" t="n">
        <x:v>0</x:v>
      </x:c>
      <x:c r="F38" s="2" t="n">
        <x:v>1</x:v>
      </x:c>
      <x:c r="G38" s="2" t="n">
        <x:v>0</x:v>
      </x:c>
      <x:c r="H38" s="2" t="str">
        <x:v>3-5</x:v>
      </x:c>
      <x:c r="I38" s="2"/>
      <x:c r="J38" s="2"/>
      <x:c r="K38" s="2"/>
      <x:c r="L38" s="2"/>
      <x:c r="M38" s="2"/>
      <x:c r="N38" s="2"/>
      <x:c r="O38" s="2"/>
      <x:c r="P38" s="2"/>
    </x:row>
    <x:row r="39">
      <x:c r="A39" s="2" t="n">
        <x:v>5291</x:v>
      </x:c>
      <x:c r="B39" s="2" t="n">
        <x:v>12</x:v>
      </x:c>
      <x:c r="C39" s="2" t="str">
        <x:v>Excellent</x:v>
      </x:c>
      <x:c r="D39" s="48" t="n">
        <x:v>0.25</x:v>
      </x:c>
      <x:c r="E39" s="2" t="n">
        <x:v>0</x:v>
      </x:c>
      <x:c r="F39" s="2" t="n">
        <x:v>1</x:v>
      </x:c>
      <x:c r="G39" s="2" t="n">
        <x:v>1</x:v>
      </x:c>
      <x:c r="H39" s="2" t="str">
        <x:v>11+</x:v>
      </x:c>
      <x:c r="I39" s="2"/>
      <x:c r="J39" s="2"/>
      <x:c r="K39" s="2"/>
      <x:c r="L39" s="2"/>
      <x:c r="M39" s="2"/>
      <x:c r="N39" s="2"/>
      <x:c r="O39" s="2"/>
      <x:c r="P39" s="2"/>
    </x:row>
    <x:row r="40">
      <x:c r="A40" s="2" t="n">
        <x:v>5427</x:v>
      </x:c>
      <x:c r="B40" s="2" t="n">
        <x:v>0</x:v>
      </x:c>
      <x:c r="C40" s="2" t="str">
        <x:v>Excellent</x:v>
      </x:c>
      <x:c r="D40" s="48" t="n">
        <x:v>0.95</x:v>
      </x:c>
      <x:c r="E40" s="2" t="n">
        <x:v>0</x:v>
      </x:c>
      <x:c r="F40" s="2" t="n">
        <x:v>0</x:v>
      </x:c>
      <x:c r="G40" s="2" t="n">
        <x:v>0</x:v>
      </x:c>
      <x:c r="H40" s="2" t="str">
        <x:v>0</x:v>
      </x:c>
      <x:c r="I40" s="2"/>
      <x:c r="J40" s="2"/>
      <x:c r="K40" s="2"/>
      <x:c r="L40" s="2"/>
      <x:c r="M40" s="2"/>
      <x:c r="N40" s="2"/>
      <x:c r="O40" s="2"/>
      <x:c r="P40" s="2"/>
    </x:row>
    <x:row r="41">
      <x:c r="A41" s="2" t="n">
        <x:v>5715</x:v>
      </x:c>
      <x:c r="B41" s="2" t="n">
        <x:v>8</x:v>
      </x:c>
      <x:c r="C41" s="2" t="str">
        <x:v>Excellent</x:v>
      </x:c>
      <x:c r="D41" s="48" t="n">
        <x:v>0</x:v>
      </x:c>
      <x:c r="E41" s="2" t="n">
        <x:v>1</x:v>
      </x:c>
      <x:c r="F41" s="2" t="n">
        <x:v>1</x:v>
      </x:c>
      <x:c r="G41" s="2" t="n">
        <x:v>1</x:v>
      </x:c>
      <x:c r="H41" s="2" t="str">
        <x:v>6-10</x:v>
      </x:c>
      <x:c r="I41" s="2"/>
      <x:c r="J41" s="2"/>
      <x:c r="K41" s="2"/>
      <x:c r="L41" s="2"/>
      <x:c r="M41" s="2"/>
      <x:c r="N41" s="2"/>
      <x:c r="O41" s="2"/>
      <x:c r="P41" s="2"/>
    </x:row>
    <x:row r="42">
      <x:c r="A42" s="2" t="n">
        <x:v>5764</x:v>
      </x:c>
      <x:c r="B42" s="2" t="n">
        <x:v>4</x:v>
      </x:c>
      <x:c r="C42" s="2" t="str">
        <x:v>Excellent</x:v>
      </x:c>
      <x:c r="D42" s="48" t="n">
        <x:v>0</x:v>
      </x:c>
      <x:c r="E42" s="2" t="n">
        <x:v>0</x:v>
      </x:c>
      <x:c r="F42" s="2" t="n">
        <x:v>1</x:v>
      </x:c>
      <x:c r="G42" s="2" t="n">
        <x:v>0</x:v>
      </x:c>
      <x:c r="H42" s="2" t="str">
        <x:v>3-5</x:v>
      </x:c>
      <x:c r="I42" s="2"/>
      <x:c r="J42" s="2"/>
      <x:c r="K42" s="2"/>
      <x:c r="L42" s="2"/>
      <x:c r="M42" s="2"/>
      <x:c r="N42" s="2"/>
      <x:c r="O42" s="2"/>
      <x:c r="P42" s="2"/>
    </x:row>
    <x:row r="43">
      <x:c r="A43" s="2" t="n">
        <x:v>6064</x:v>
      </x:c>
      <x:c r="B43" s="2" t="n">
        <x:v>3</x:v>
      </x:c>
      <x:c r="C43" s="2" t="str">
        <x:v>Fair</x:v>
      </x:c>
      <x:c r="D43" s="48" t="n">
        <x:v>0.25</x:v>
      </x:c>
      <x:c r="E43" s="2" t="n">
        <x:v>0</x:v>
      </x:c>
      <x:c r="F43" s="2" t="n">
        <x:v>1</x:v>
      </x:c>
      <x:c r="G43" s="2" t="n">
        <x:v>0</x:v>
      </x:c>
      <x:c r="H43" s="2" t="str">
        <x:v>3-5</x:v>
      </x:c>
      <x:c r="I43" s="2"/>
      <x:c r="J43" s="2"/>
      <x:c r="K43" s="2"/>
      <x:c r="L43" s="2"/>
      <x:c r="M43" s="2"/>
      <x:c r="N43" s="2"/>
      <x:c r="O43" s="2"/>
      <x:c r="P43" s="2"/>
    </x:row>
    <x:row r="44">
      <x:c r="A44" s="2" t="n">
        <x:v>6439</x:v>
      </x:c>
      <x:c r="B44" s="2" t="n">
        <x:v>1</x:v>
      </x:c>
      <x:c r="C44" s="2" t="str">
        <x:v>Poor</x:v>
      </x:c>
      <x:c r="D44" s="48" t="n">
        <x:v>0</x:v>
      </x:c>
      <x:c r="E44" s="2" t="n">
        <x:v>0</x:v>
      </x:c>
      <x:c r="F44" s="2" t="n">
        <x:v>1</x:v>
      </x:c>
      <x:c r="G44" s="2" t="n">
        <x:v>0</x:v>
      </x:c>
      <x:c r="H44" s="2" t="str">
        <x:v>1-2</x:v>
      </x:c>
      <x:c r="I44" s="2"/>
      <x:c r="J44" s="2"/>
      <x:c r="K44" s="2"/>
      <x:c r="L44" s="2"/>
      <x:c r="M44" s="2"/>
      <x:c r="N44" s="2"/>
      <x:c r="O44" s="2"/>
      <x:c r="P44" s="2"/>
    </x:row>
    <x:row r="45">
      <x:c r="A45" s="2" t="n">
        <x:v>6464</x:v>
      </x:c>
      <x:c r="B45" s="2" t="n">
        <x:v>4</x:v>
      </x:c>
      <x:c r="C45" s="2" t="str">
        <x:v>Excellent</x:v>
      </x:c>
      <x:c r="D45" s="48" t="n">
        <x:v>0</x:v>
      </x:c>
      <x:c r="E45" s="2" t="n">
        <x:v>1</x:v>
      </x:c>
      <x:c r="F45" s="2" t="n">
        <x:v>1</x:v>
      </x:c>
      <x:c r="G45" s="2" t="n">
        <x:v>0</x:v>
      </x:c>
      <x:c r="H45" s="2" t="str">
        <x:v>3-5</x:v>
      </x:c>
      <x:c r="I45" s="2"/>
      <x:c r="J45" s="2"/>
      <x:c r="K45" s="2"/>
      <x:c r="L45" s="2"/>
      <x:c r="M45" s="2"/>
      <x:c r="N45" s="2"/>
      <x:c r="O45" s="2"/>
      <x:c r="P45" s="2"/>
    </x:row>
    <x:row r="46">
      <x:c r="A46" t="n">
        <x:v>6502</x:v>
      </x:c>
      <x:c r="B46" t="n">
        <x:v>0</x:v>
      </x:c>
      <x:c r="C46" t="str">
        <x:v>Excellent</x:v>
      </x:c>
      <x:c r="D46" s="92" t="n">
        <x:v>0</x:v>
      </x:c>
      <x:c r="E46" t="n">
        <x:v>0</x:v>
      </x:c>
      <x:c r="F46" t="n">
        <x:v>0</x:v>
      </x:c>
      <x:c r="G46" t="n">
        <x:v>0</x:v>
      </x:c>
      <x:c r="H46" t="str">
        <x:v>0</x:v>
      </x:c>
    </x:row>
    <x:row r="47">
      <x:c r="A47" t="n">
        <x:v>6528</x:v>
      </x:c>
      <x:c r="B47" t="n">
        <x:v>0</x:v>
      </x:c>
      <x:c r="C47" t="str">
        <x:v>Excellent</x:v>
      </x:c>
      <x:c r="D47" s="92" t="n">
        <x:v>0.95</x:v>
      </x:c>
      <x:c r="E47" t="n">
        <x:v>0</x:v>
      </x:c>
      <x:c r="F47" t="n">
        <x:v>0</x:v>
      </x:c>
      <x:c r="G47" t="n">
        <x:v>0</x:v>
      </x:c>
      <x:c r="H47" t="str">
        <x:v>0</x:v>
      </x:c>
    </x:row>
    <x:row r="48">
      <x:c r="A48" t="n">
        <x:v>6594</x:v>
      </x:c>
      <x:c r="B48" t="n">
        <x:v>6</x:v>
      </x:c>
      <x:c r="C48" t="str">
        <x:v>Excellent</x:v>
      </x:c>
      <x:c r="D48" s="92" t="n">
        <x:v>0</x:v>
      </x:c>
      <x:c r="E48" t="n">
        <x:v>0</x:v>
      </x:c>
      <x:c r="F48" t="n">
        <x:v>1</x:v>
      </x:c>
      <x:c r="G48" t="n">
        <x:v>0</x:v>
      </x:c>
      <x:c r="H48" t="str">
        <x:v>6-10</x:v>
      </x:c>
    </x:row>
    <x:row r="49">
      <x:c r="A49" t="n">
        <x:v>6704</x:v>
      </x:c>
      <x:c r="B49" t="n">
        <x:v>0</x:v>
      </x:c>
      <x:c r="C49" t="str">
        <x:v>Excellent</x:v>
      </x:c>
      <x:c r="D49" s="92" t="n">
        <x:v>0.25</x:v>
      </x:c>
      <x:c r="E49" t="n">
        <x:v>0</x:v>
      </x:c>
      <x:c r="F49" t="n">
        <x:v>0</x:v>
      </x:c>
      <x:c r="G49" t="n">
        <x:v>0</x:v>
      </x:c>
      <x:c r="H49" t="str">
        <x:v>0</x:v>
      </x:c>
    </x:row>
    <x:row r="50">
      <x:c r="A50" t="n">
        <x:v>6963</x:v>
      </x:c>
      <x:c r="B50" t="n">
        <x:v>0</x:v>
      </x:c>
      <x:c r="C50" t="str">
        <x:v>Excellent</x:v>
      </x:c>
      <x:c r="D50" s="92" t="n">
        <x:v>0.25</x:v>
      </x:c>
      <x:c r="E50" t="n">
        <x:v>0</x:v>
      </x:c>
      <x:c r="F50" t="n">
        <x:v>0</x:v>
      </x:c>
      <x:c r="G50" t="n">
        <x:v>0</x:v>
      </x:c>
      <x:c r="H50" t="str">
        <x:v>0</x:v>
      </x:c>
    </x:row>
    <x:row r="51">
      <x:c r="A51" t="n">
        <x:v>7088</x:v>
      </x:c>
      <x:c r="B51" t="n">
        <x:v>0</x:v>
      </x:c>
      <x:c r="C51" t="str">
        <x:v>Excellent</x:v>
      </x:c>
      <x:c r="D51" s="92" t="n">
        <x:v>0</x:v>
      </x:c>
      <x:c r="E51" t="n">
        <x:v>1</x:v>
      </x:c>
      <x:c r="F51" t="n">
        <x:v>0</x:v>
      </x:c>
      <x:c r="G51" t="n">
        <x:v>0</x:v>
      </x:c>
      <x:c r="H51" t="str">
        <x:v>0</x:v>
      </x:c>
    </x:row>
    <x:row r="52">
      <x:c r="A52" t="n">
        <x:v>7094</x:v>
      </x:c>
      <x:c r="B52" t="n">
        <x:v>1</x:v>
      </x:c>
      <x:c r="C52" t="str">
        <x:v>Good</x:v>
      </x:c>
      <x:c r="D52" s="92" t="n">
        <x:v>0.25</x:v>
      </x:c>
      <x:c r="E52" t="n">
        <x:v>0</x:v>
      </x:c>
      <x:c r="F52" t="n">
        <x:v>1</x:v>
      </x:c>
      <x:c r="G52" t="n">
        <x:v>0</x:v>
      </x:c>
      <x:c r="H52" t="str">
        <x:v>1-2</x:v>
      </x:c>
    </x:row>
    <x:row r="53">
      <x:c r="A53" t="n">
        <x:v>7463</x:v>
      </x:c>
      <x:c r="B53" t="n">
        <x:v>14</x:v>
      </x:c>
      <x:c r="C53" t="str">
        <x:v>Good</x:v>
      </x:c>
      <x:c r="D53" s="92" t="n">
        <x:v>0.25</x:v>
      </x:c>
      <x:c r="E53" t="n">
        <x:v>0</x:v>
      </x:c>
      <x:c r="F53" t="n">
        <x:v>1</x:v>
      </x:c>
      <x:c r="G53" t="n">
        <x:v>1</x:v>
      </x:c>
      <x:c r="H53" t="str">
        <x:v>11+</x:v>
      </x:c>
    </x:row>
    <x:row r="54">
      <x:c r="A54" t="n">
        <x:v>7537</x:v>
      </x:c>
      <x:c r="B54" t="n">
        <x:v>0</x:v>
      </x:c>
      <x:c r="C54" t="str">
        <x:v>Good</x:v>
      </x:c>
      <x:c r="D54" s="92" t="n">
        <x:v>0</x:v>
      </x:c>
      <x:c r="E54" t="n">
        <x:v>0</x:v>
      </x:c>
      <x:c r="F54" t="n">
        <x:v>0</x:v>
      </x:c>
      <x:c r="G54" t="n">
        <x:v>0</x:v>
      </x:c>
      <x:c r="H54" t="str">
        <x:v>0</x:v>
      </x:c>
    </x:row>
    <x:row r="55">
      <x:c r="A55" t="n">
        <x:v>7649</x:v>
      </x:c>
      <x:c r="B55" t="n">
        <x:v>1</x:v>
      </x:c>
      <x:c r="C55" t="str">
        <x:v>Fair</x:v>
      </x:c>
      <x:c r="D55" s="92" t="n">
        <x:v>0.25</x:v>
      </x:c>
      <x:c r="E55" t="n">
        <x:v>0</x:v>
      </x:c>
      <x:c r="F55" t="n">
        <x:v>1</x:v>
      </x:c>
      <x:c r="G55" t="n">
        <x:v>0</x:v>
      </x:c>
      <x:c r="H55" t="str">
        <x:v>1-2</x:v>
      </x:c>
    </x:row>
    <x:row r="56">
      <x:c r="A56" t="n">
        <x:v>7663</x:v>
      </x:c>
      <x:c r="B56" t="n">
        <x:v>2</x:v>
      </x:c>
      <x:c r="C56" t="str">
        <x:v>Fair</x:v>
      </x:c>
      <x:c r="D56" s="92" t="n">
        <x:v>0</x:v>
      </x:c>
      <x:c r="E56" t="n">
        <x:v>1</x:v>
      </x:c>
      <x:c r="F56" t="n">
        <x:v>1</x:v>
      </x:c>
      <x:c r="G56" t="n">
        <x:v>0</x:v>
      </x:c>
      <x:c r="H56" t="str">
        <x:v>1-2</x:v>
      </x:c>
    </x:row>
    <x:row r="57">
      <x:c r="A57" t="n">
        <x:v>7915</x:v>
      </x:c>
      <x:c r="B57" t="n">
        <x:v>1</x:v>
      </x:c>
      <x:c r="C57" t="str">
        <x:v>Good</x:v>
      </x:c>
      <x:c r="D57" s="92" t="n">
        <x:v>0</x:v>
      </x:c>
      <x:c r="E57" t="n">
        <x:v>0</x:v>
      </x:c>
      <x:c r="F57" t="n">
        <x:v>1</x:v>
      </x:c>
      <x:c r="G57" t="n">
        <x:v>0</x:v>
      </x:c>
      <x:c r="H57" t="str">
        <x:v>1-2</x:v>
      </x:c>
    </x:row>
    <x:row r="58">
      <x:c r="A58" t="n">
        <x:v>8044</x:v>
      </x:c>
      <x:c r="B58" t="n">
        <x:v>14</x:v>
      </x:c>
      <x:c r="C58" t="str">
        <x:v>Excellent</x:v>
      </x:c>
      <x:c r="D58" s="92" t="n">
        <x:v>0</x:v>
      </x:c>
      <x:c r="E58" t="n">
        <x:v>0</x:v>
      </x:c>
      <x:c r="F58" t="n">
        <x:v>1</x:v>
      </x:c>
      <x:c r="G58" t="n">
        <x:v>1</x:v>
      </x:c>
      <x:c r="H58" t="str">
        <x:v>11+</x:v>
      </x:c>
    </x:row>
    <x:row r="59">
      <x:c r="A59" t="n">
        <x:v>8055</x:v>
      </x:c>
      <x:c r="B59" t="n">
        <x:v>1</x:v>
      </x:c>
      <x:c r="C59" t="str">
        <x:v>Good</x:v>
      </x:c>
      <x:c r="D59" s="92" t="n">
        <x:v>0</x:v>
      </x:c>
      <x:c r="E59" t="n">
        <x:v>0</x:v>
      </x:c>
      <x:c r="F59" t="n">
        <x:v>1</x:v>
      </x:c>
      <x:c r="G59" t="n">
        <x:v>0</x:v>
      </x:c>
      <x:c r="H59" t="str">
        <x:v>1-2</x:v>
      </x:c>
    </x:row>
    <x:row r="60">
      <x:c r="A60" t="n">
        <x:v>8249</x:v>
      </x:c>
      <x:c r="B60" t="n">
        <x:v>16</x:v>
      </x:c>
      <x:c r="C60" t="str">
        <x:v>Excellent</x:v>
      </x:c>
      <x:c r="D60" s="92" t="n">
        <x:v>0.95</x:v>
      </x:c>
      <x:c r="E60" t="n">
        <x:v>0</x:v>
      </x:c>
      <x:c r="F60" t="n">
        <x:v>1</x:v>
      </x:c>
      <x:c r="G60" t="n">
        <x:v>1</x:v>
      </x:c>
      <x:c r="H60" t="str">
        <x:v>11+</x:v>
      </x:c>
    </x:row>
    <x:row r="61">
      <x:c r="A61" t="n">
        <x:v>8280</x:v>
      </x:c>
      <x:c r="B61" t="n">
        <x:v>2</x:v>
      </x:c>
      <x:c r="C61" t="str">
        <x:v>Excellent</x:v>
      </x:c>
      <x:c r="D61" s="92" t="n">
        <x:v>0.25</x:v>
      </x:c>
      <x:c r="E61" t="n">
        <x:v>0</x:v>
      </x:c>
      <x:c r="F61" t="n">
        <x:v>1</x:v>
      </x:c>
      <x:c r="G61" t="n">
        <x:v>0</x:v>
      </x:c>
      <x:c r="H61" t="str">
        <x:v>1-2</x:v>
      </x:c>
    </x:row>
    <x:row r="62">
      <x:c r="A62" t="n">
        <x:v>8396</x:v>
      </x:c>
      <x:c r="B62" t="n">
        <x:v>4</x:v>
      </x:c>
      <x:c r="C62" t="str">
        <x:v>Excellent</x:v>
      </x:c>
      <x:c r="D62" s="92" t="n">
        <x:v>0</x:v>
      </x:c>
      <x:c r="E62" t="n">
        <x:v>0</x:v>
      </x:c>
      <x:c r="F62" t="n">
        <x:v>1</x:v>
      </x:c>
      <x:c r="G62" t="n">
        <x:v>0</x:v>
      </x:c>
      <x:c r="H62" t="str">
        <x:v>3-5</x:v>
      </x:c>
    </x:row>
    <x:row r="63">
      <x:c r="A63" t="n">
        <x:v>8441</x:v>
      </x:c>
      <x:c r="B63" t="n">
        <x:v>2</x:v>
      </x:c>
      <x:c r="C63" t="str">
        <x:v>Excellent</x:v>
      </x:c>
      <x:c r="D63" s="92" t="n">
        <x:v>0.95</x:v>
      </x:c>
      <x:c r="E63" t="n">
        <x:v>0</x:v>
      </x:c>
      <x:c r="F63" t="n">
        <x:v>1</x:v>
      </x:c>
      <x:c r="G63" t="n">
        <x:v>0</x:v>
      </x:c>
      <x:c r="H63" t="str">
        <x:v>1-2</x:v>
      </x:c>
    </x:row>
    <x:row r="64">
      <x:c r="A64" t="n">
        <x:v>8475</x:v>
      </x:c>
      <x:c r="B64" t="n">
        <x:v>6</x:v>
      </x:c>
      <x:c r="C64" t="str">
        <x:v>Excellent</x:v>
      </x:c>
      <x:c r="D64" s="92" t="n">
        <x:v>0</x:v>
      </x:c>
      <x:c r="E64" t="n">
        <x:v>0</x:v>
      </x:c>
      <x:c r="F64" t="n">
        <x:v>1</x:v>
      </x:c>
      <x:c r="G64" t="n">
        <x:v>0</x:v>
      </x:c>
      <x:c r="H64" t="str">
        <x:v>6-10</x:v>
      </x:c>
    </x:row>
    <x:row r="65">
      <x:c r="A65" t="n">
        <x:v>8478</x:v>
      </x:c>
      <x:c r="B65" t="n">
        <x:v>9</x:v>
      </x:c>
      <x:c r="C65" t="str">
        <x:v>Excellent</x:v>
      </x:c>
      <x:c r="D65" s="92" t="n">
        <x:v>0</x:v>
      </x:c>
      <x:c r="E65" t="n">
        <x:v>1</x:v>
      </x:c>
      <x:c r="F65" t="n">
        <x:v>1</x:v>
      </x:c>
      <x:c r="G65" t="n">
        <x:v>1</x:v>
      </x:c>
      <x:c r="H65" t="str">
        <x:v>6-10</x:v>
      </x:c>
    </x:row>
    <x:row r="66">
      <x:c r="A66" t="n">
        <x:v>8643</x:v>
      </x:c>
      <x:c r="B66" t="n">
        <x:v>0</x:v>
      </x:c>
      <x:c r="C66" t="str">
        <x:v>Good</x:v>
      </x:c>
      <x:c r="D66" s="92" t="n">
        <x:v>0.25</x:v>
      </x:c>
      <x:c r="E66" t="n">
        <x:v>0</x:v>
      </x:c>
      <x:c r="F66" t="n">
        <x:v>0</x:v>
      </x:c>
      <x:c r="G66" t="n">
        <x:v>0</x:v>
      </x:c>
      <x:c r="H66" t="str">
        <x:v>0</x:v>
      </x:c>
    </x:row>
    <x:row r="67">
      <x:c r="A67" t="n">
        <x:v>8654</x:v>
      </x:c>
      <x:c r="B67" t="n">
        <x:v>0</x:v>
      </x:c>
      <x:c r="C67" t="str">
        <x:v>Good</x:v>
      </x:c>
      <x:c r="D67" s="92" t="n">
        <x:v>0</x:v>
      </x:c>
      <x:c r="E67" t="n">
        <x:v>0</x:v>
      </x:c>
      <x:c r="F67" t="n">
        <x:v>0</x:v>
      </x:c>
      <x:c r="G67" t="n">
        <x:v>0</x:v>
      </x:c>
      <x:c r="H67" t="str">
        <x:v>0</x:v>
      </x:c>
    </x:row>
    <x:row r="68">
      <x:c r="A68" t="n">
        <x:v>8689</x:v>
      </x:c>
      <x:c r="B68" t="n">
        <x:v>8</x:v>
      </x:c>
      <x:c r="C68" t="str">
        <x:v>Excellent</x:v>
      </x:c>
      <x:c r="D68" s="92" t="n">
        <x:v>0</x:v>
      </x:c>
      <x:c r="E68" t="n">
        <x:v>0</x:v>
      </x:c>
      <x:c r="F68" t="n">
        <x:v>1</x:v>
      </x:c>
      <x:c r="G68" t="n">
        <x:v>1</x:v>
      </x:c>
      <x:c r="H68" t="str">
        <x:v>6-10</x:v>
      </x:c>
    </x:row>
    <x:row r="69">
      <x:c r="A69" t="n">
        <x:v>8827</x:v>
      </x:c>
      <x:c r="B69" t="n">
        <x:v>2</x:v>
      </x:c>
      <x:c r="C69" t="str">
        <x:v>Good</x:v>
      </x:c>
      <x:c r="D69" s="92" t="n">
        <x:v>0</x:v>
      </x:c>
      <x:c r="E69" t="n">
        <x:v>0</x:v>
      </x:c>
      <x:c r="F69" t="n">
        <x:v>1</x:v>
      </x:c>
      <x:c r="G69" t="n">
        <x:v>0</x:v>
      </x:c>
      <x:c r="H69" t="str">
        <x:v>1-2</x:v>
      </x:c>
    </x:row>
    <x:row r="70">
      <x:c r="A70" t="n">
        <x:v>9016</x:v>
      </x:c>
      <x:c r="B70" t="n">
        <x:v>1</x:v>
      </x:c>
      <x:c r="C70" t="str">
        <x:v>Fair</x:v>
      </x:c>
      <x:c r="D70" s="92" t="n">
        <x:v>0.95</x:v>
      </x:c>
      <x:c r="E70" t="n">
        <x:v>0</x:v>
      </x:c>
      <x:c r="F70" t="n">
        <x:v>1</x:v>
      </x:c>
      <x:c r="G70" t="n">
        <x:v>0</x:v>
      </x:c>
      <x:c r="H70" t="str">
        <x:v>1-2</x:v>
      </x:c>
    </x:row>
    <x:row r="71">
      <x:c r="A71" t="n">
        <x:v>9564</x:v>
      </x:c>
      <x:c r="B71" t="n">
        <x:v>1</x:v>
      </x:c>
      <x:c r="C71" t="str">
        <x:v>Excellent</x:v>
      </x:c>
      <x:c r="D71" s="92" t="n">
        <x:v>0</x:v>
      </x:c>
      <x:c r="E71" t="n">
        <x:v>0</x:v>
      </x:c>
      <x:c r="F71" t="n">
        <x:v>1</x:v>
      </x:c>
      <x:c r="G71" t="n">
        <x:v>0</x:v>
      </x:c>
      <x:c r="H71" t="str">
        <x:v>1-2</x:v>
      </x:c>
    </x:row>
    <x:row r="72">
      <x:c r="A72" t="n">
        <x:v>9595</x:v>
      </x:c>
      <x:c r="B72" t="n">
        <x:v>0</x:v>
      </x:c>
      <x:c r="C72" t="str">
        <x:v>Good</x:v>
      </x:c>
      <x:c r="D72" s="92" t="n">
        <x:v>0</x:v>
      </x:c>
      <x:c r="E72" t="n">
        <x:v>0</x:v>
      </x:c>
      <x:c r="F72" t="n">
        <x:v>0</x:v>
      </x:c>
      <x:c r="G72" t="n">
        <x:v>0</x:v>
      </x:c>
      <x:c r="H72" t="str">
        <x:v>0</x:v>
      </x:c>
    </x:row>
    <x:row r="73">
      <x:c r="A73" t="n">
        <x:v>9607</x:v>
      </x:c>
      <x:c r="B73" t="n">
        <x:v>2</x:v>
      </x:c>
      <x:c r="C73" t="str">
        <x:v>Good</x:v>
      </x:c>
      <x:c r="D73" s="92" t="n">
        <x:v>0</x:v>
      </x:c>
      <x:c r="E73" t="n">
        <x:v>0</x:v>
      </x:c>
      <x:c r="F73" t="n">
        <x:v>1</x:v>
      </x:c>
      <x:c r="G73" t="n">
        <x:v>0</x:v>
      </x:c>
      <x:c r="H73" t="str">
        <x:v>1-2</x:v>
      </x:c>
    </x:row>
    <x:row r="74">
      <x:c r="A74" t="n">
        <x:v>9721</x:v>
      </x:c>
      <x:c r="B74" t="n">
        <x:v>0</x:v>
      </x:c>
      <x:c r="C74" t="str">
        <x:v>Excellent</x:v>
      </x:c>
      <x:c r="D74" s="92" t="n">
        <x:v>0.95</x:v>
      </x:c>
      <x:c r="E74" t="n">
        <x:v>0</x:v>
      </x:c>
      <x:c r="F74" t="n">
        <x:v>0</x:v>
      </x:c>
      <x:c r="G74" t="n">
        <x:v>0</x:v>
      </x:c>
      <x:c r="H74" t="str">
        <x:v>0</x:v>
      </x:c>
    </x:row>
    <x:row r="75">
      <x:c r="A75" t="n">
        <x:v>9827</x:v>
      </x:c>
      <x:c r="B75" t="n">
        <x:v>2</x:v>
      </x:c>
      <x:c r="C75" t="str">
        <x:v>Excellent</x:v>
      </x:c>
      <x:c r="D75" s="92" t="n">
        <x:v>0.25</x:v>
      </x:c>
      <x:c r="E75" t="n">
        <x:v>0</x:v>
      </x:c>
      <x:c r="F75" t="n">
        <x:v>1</x:v>
      </x:c>
      <x:c r="G75" t="n">
        <x:v>0</x:v>
      </x:c>
      <x:c r="H75" t="str">
        <x:v>1-2</x:v>
      </x:c>
    </x:row>
    <x:row r="76">
      <x:c r="A76" t="n">
        <x:v>9936</x:v>
      </x:c>
      <x:c r="B76" t="n">
        <x:v>0</x:v>
      </x:c>
      <x:c r="C76" t="str">
        <x:v>Excellent</x:v>
      </x:c>
      <x:c r="D76" s="92" t="n">
        <x:v>0.5</x:v>
      </x:c>
      <x:c r="E76" t="n">
        <x:v>0</x:v>
      </x:c>
      <x:c r="F76" t="n">
        <x:v>0</x:v>
      </x:c>
      <x:c r="G76" t="n">
        <x:v>0</x:v>
      </x:c>
      <x:c r="H76" t="str">
        <x:v>0</x:v>
      </x:c>
    </x:row>
    <x:row r="77">
      <x:c r="A77" t="n">
        <x:v>9937</x:v>
      </x:c>
      <x:c r="B77" t="n">
        <x:v>0</x:v>
      </x:c>
      <x:c r="C77" t="str">
        <x:v>Excellent</x:v>
      </x:c>
      <x:c r="D77" s="92" t="n">
        <x:v>0.5</x:v>
      </x:c>
      <x:c r="E77" t="n">
        <x:v>0</x:v>
      </x:c>
      <x:c r="F77" t="n">
        <x:v>0</x:v>
      </x:c>
      <x:c r="G77" t="n">
        <x:v>0</x:v>
      </x:c>
      <x:c r="H77" t="str">
        <x:v>0</x:v>
      </x:c>
    </x:row>
    <x:row r="78">
      <x:c r="A78" t="n">
        <x:v>10171</x:v>
      </x:c>
      <x:c r="B78" t="n">
        <x:v>2</x:v>
      </x:c>
      <x:c r="C78" t="str">
        <x:v>Good</x:v>
      </x:c>
      <x:c r="D78" s="92" t="n">
        <x:v>0.25</x:v>
      </x:c>
      <x:c r="E78" t="n">
        <x:v>0</x:v>
      </x:c>
      <x:c r="F78" t="n">
        <x:v>1</x:v>
      </x:c>
      <x:c r="G78" t="n">
        <x:v>0</x:v>
      </x:c>
      <x:c r="H78" t="str">
        <x:v>1-2</x:v>
      </x:c>
    </x:row>
    <x:row r="79">
      <x:c r="A79" t="n">
        <x:v>10372</x:v>
      </x:c>
      <x:c r="B79" t="n">
        <x:v>1</x:v>
      </x:c>
      <x:c r="C79" t="str">
        <x:v>Excellent</x:v>
      </x:c>
      <x:c r="D79" s="92" t="n">
        <x:v>0</x:v>
      </x:c>
      <x:c r="E79" t="n">
        <x:v>1</x:v>
      </x:c>
      <x:c r="F79" t="n">
        <x:v>1</x:v>
      </x:c>
      <x:c r="G79" t="n">
        <x:v>0</x:v>
      </x:c>
      <x:c r="H79" t="str">
        <x:v>1-2</x:v>
      </x:c>
    </x:row>
    <x:row r="80">
      <x:c r="A80" t="n">
        <x:v>10616</x:v>
      </x:c>
      <x:c r="B80" t="n">
        <x:v>3</x:v>
      </x:c>
      <x:c r="C80" t="str">
        <x:v>Excellent</x:v>
      </x:c>
      <x:c r="D80" s="92" t="n">
        <x:v>0</x:v>
      </x:c>
      <x:c r="E80" t="n">
        <x:v>0</x:v>
      </x:c>
      <x:c r="F80" t="n">
        <x:v>1</x:v>
      </x:c>
      <x:c r="G80" t="n">
        <x:v>0</x:v>
      </x:c>
      <x:c r="H80" t="str">
        <x:v>3-5</x:v>
      </x:c>
    </x:row>
    <x:row r="81">
      <x:c r="A81" t="n">
        <x:v>10698</x:v>
      </x:c>
      <x:c r="B81" t="n">
        <x:v>11</x:v>
      </x:c>
      <x:c r="C81" t="str">
        <x:v>Good</x:v>
      </x:c>
      <x:c r="D81" s="92" t="n">
        <x:v>0</x:v>
      </x:c>
      <x:c r="E81" t="n">
        <x:v>1</x:v>
      </x:c>
      <x:c r="F81" t="n">
        <x:v>1</x:v>
      </x:c>
      <x:c r="G81" t="n">
        <x:v>1</x:v>
      </x:c>
      <x:c r="H81" t="str">
        <x:v>11+</x:v>
      </x:c>
    </x:row>
    <x:row r="82">
      <x:c r="A82" t="n">
        <x:v>10793</x:v>
      </x:c>
      <x:c r="B82" t="n">
        <x:v>1</x:v>
      </x:c>
      <x:c r="C82" t="str">
        <x:v>Good</x:v>
      </x:c>
      <x:c r="D82" s="92" t="n">
        <x:v>0.95</x:v>
      </x:c>
      <x:c r="E82" t="n">
        <x:v>0</x:v>
      </x:c>
      <x:c r="F82" t="n">
        <x:v>1</x:v>
      </x:c>
      <x:c r="G82" t="n">
        <x:v>0</x:v>
      </x:c>
      <x:c r="H82" t="str">
        <x:v>1-2</x:v>
      </x:c>
    </x:row>
    <x:row r="83">
      <x:c r="A83" t="n">
        <x:v>10866</x:v>
      </x:c>
      <x:c r="B83" t="n">
        <x:v>0</x:v>
      </x:c>
      <x:c r="C83" t="str">
        <x:v>Excellent</x:v>
      </x:c>
      <x:c r="D83" s="92" t="n">
        <x:v>0</x:v>
      </x:c>
      <x:c r="E83" t="n">
        <x:v>1</x:v>
      </x:c>
      <x:c r="F83" t="n">
        <x:v>0</x:v>
      </x:c>
      <x:c r="G83" t="n">
        <x:v>0</x:v>
      </x:c>
      <x:c r="H83" t="str">
        <x:v>0</x:v>
      </x:c>
    </x:row>
    <x:row r="84">
      <x:c r="A84" t="n">
        <x:v>10980</x:v>
      </x:c>
      <x:c r="B84" t="n">
        <x:v>5</x:v>
      </x:c>
      <x:c r="C84" t="str">
        <x:v>Good</x:v>
      </x:c>
      <x:c r="D84" s="92" t="n">
        <x:v>0</x:v>
      </x:c>
      <x:c r="E84" t="n">
        <x:v>0</x:v>
      </x:c>
      <x:c r="F84" t="n">
        <x:v>1</x:v>
      </x:c>
      <x:c r="G84" t="n">
        <x:v>0</x:v>
      </x:c>
      <x:c r="H84" t="str">
        <x:v>3-5</x:v>
      </x:c>
    </x:row>
    <x:row r="85">
      <x:c r="A85" t="n">
        <x:v>11087</x:v>
      </x:c>
      <x:c r="B85" t="n">
        <x:v>1</x:v>
      </x:c>
      <x:c r="C85" t="str">
        <x:v>Excellent</x:v>
      </x:c>
      <x:c r="D85" s="92" t="n">
        <x:v>0.25</x:v>
      </x:c>
      <x:c r="E85" t="n">
        <x:v>0</x:v>
      </x:c>
      <x:c r="F85" t="n">
        <x:v>1</x:v>
      </x:c>
      <x:c r="G85" t="n">
        <x:v>0</x:v>
      </x:c>
      <x:c r="H85" t="str">
        <x:v>1-2</x:v>
      </x:c>
    </x:row>
    <x:row r="86">
      <x:c r="A86" t="n">
        <x:v>11252</x:v>
      </x:c>
      <x:c r="B86" t="n">
        <x:v>0</x:v>
      </x:c>
      <x:c r="C86" t="str">
        <x:v>Excellent</x:v>
      </x:c>
      <x:c r="D86" s="92" t="n">
        <x:v>0</x:v>
      </x:c>
      <x:c r="E86" t="n">
        <x:v>1</x:v>
      </x:c>
      <x:c r="F86" t="n">
        <x:v>0</x:v>
      </x:c>
      <x:c r="G86" t="n">
        <x:v>0</x:v>
      </x:c>
      <x:c r="H86" t="str">
        <x:v>0</x:v>
      </x:c>
    </x:row>
    <x:row r="87">
      <x:c r="A87" t="n">
        <x:v>11319</x:v>
      </x:c>
      <x:c r="B87" t="n">
        <x:v>1</x:v>
      </x:c>
      <x:c r="C87" t="str">
        <x:v>Excellent</x:v>
      </x:c>
      <x:c r="D87" s="92" t="n">
        <x:v>0.25</x:v>
      </x:c>
      <x:c r="E87" t="n">
        <x:v>0</x:v>
      </x:c>
      <x:c r="F87" t="n">
        <x:v>1</x:v>
      </x:c>
      <x:c r="G87" t="n">
        <x:v>0</x:v>
      </x:c>
      <x:c r="H87" t="str">
        <x:v>1-2</x:v>
      </x:c>
    </x:row>
    <x:row r="88">
      <x:c r="A88" t="n">
        <x:v>11399</x:v>
      </x:c>
      <x:c r="B88" t="n">
        <x:v>1</x:v>
      </x:c>
      <x:c r="C88" t="str">
        <x:v>Excellent</x:v>
      </x:c>
      <x:c r="D88" s="92" t="n">
        <x:v>0.25</x:v>
      </x:c>
      <x:c r="E88" t="n">
        <x:v>0</x:v>
      </x:c>
      <x:c r="F88" t="n">
        <x:v>1</x:v>
      </x:c>
      <x:c r="G88" t="n">
        <x:v>0</x:v>
      </x:c>
      <x:c r="H88" t="str">
        <x:v>1-2</x:v>
      </x:c>
    </x:row>
    <x:row r="89">
      <x:c r="A89" t="n">
        <x:v>11586</x:v>
      </x:c>
      <x:c r="B89" t="n">
        <x:v>1</x:v>
      </x:c>
      <x:c r="C89" t="str">
        <x:v>Excellent</x:v>
      </x:c>
      <x:c r="D89" s="92" t="n">
        <x:v>0</x:v>
      </x:c>
      <x:c r="E89" t="n">
        <x:v>1</x:v>
      </x:c>
      <x:c r="F89" t="n">
        <x:v>1</x:v>
      </x:c>
      <x:c r="G89" t="n">
        <x:v>0</x:v>
      </x:c>
      <x:c r="H89" t="str">
        <x:v>1-2</x:v>
      </x:c>
    </x:row>
    <x:row r="90">
      <x:c r="A90" t="n">
        <x:v>11669</x:v>
      </x:c>
      <x:c r="B90" t="n">
        <x:v>1</x:v>
      </x:c>
      <x:c r="C90" t="str">
        <x:v>Excellent</x:v>
      </x:c>
      <x:c r="D90" s="92" t="n">
        <x:v>0</x:v>
      </x:c>
      <x:c r="E90" t="n">
        <x:v>1</x:v>
      </x:c>
      <x:c r="F90" t="n">
        <x:v>1</x:v>
      </x:c>
      <x:c r="G90" t="n">
        <x:v>0</x:v>
      </x:c>
      <x:c r="H90" t="str">
        <x:v>1-2</x:v>
      </x:c>
    </x:row>
    <x:row r="91">
      <x:c r="A91" t="n">
        <x:v>11698</x:v>
      </x:c>
      <x:c r="B91" t="n">
        <x:v>1</x:v>
      </x:c>
      <x:c r="C91" t="str">
        <x:v>Excellent</x:v>
      </x:c>
      <x:c r="D91" s="92" t="n">
        <x:v>0.95</x:v>
      </x:c>
      <x:c r="E91" t="n">
        <x:v>0</x:v>
      </x:c>
      <x:c r="F91" t="n">
        <x:v>1</x:v>
      </x:c>
      <x:c r="G91" t="n">
        <x:v>0</x:v>
      </x:c>
      <x:c r="H91" t="str">
        <x:v>1-2</x:v>
      </x:c>
    </x:row>
    <x:row r="92">
      <x:c r="A92" t="n">
        <x:v>11841</x:v>
      </x:c>
      <x:c r="B92" t="n">
        <x:v>3</x:v>
      </x:c>
      <x:c r="C92" t="str">
        <x:v>Good</x:v>
      </x:c>
      <x:c r="D92" s="92" t="n">
        <x:v>0</x:v>
      </x:c>
      <x:c r="E92" t="n">
        <x:v>0</x:v>
      </x:c>
      <x:c r="F92" t="n">
        <x:v>1</x:v>
      </x:c>
      <x:c r="G92" t="n">
        <x:v>0</x:v>
      </x:c>
      <x:c r="H92" t="str">
        <x:v>3-5</x:v>
      </x:c>
    </x:row>
    <x:row r="93">
      <x:c r="A93" t="n">
        <x:v>11855</x:v>
      </x:c>
      <x:c r="B93" t="n">
        <x:v>7</x:v>
      </x:c>
      <x:c r="C93" t="str">
        <x:v>Excellent</x:v>
      </x:c>
      <x:c r="D93" s="92" t="n">
        <x:v>0</x:v>
      </x:c>
      <x:c r="E93" t="n">
        <x:v>1</x:v>
      </x:c>
      <x:c r="F93" t="n">
        <x:v>1</x:v>
      </x:c>
      <x:c r="G93" t="n">
        <x:v>0</x:v>
      </x:c>
      <x:c r="H93" t="str">
        <x:v>6-10</x:v>
      </x:c>
    </x:row>
    <x:row r="94">
      <x:c r="A94" t="n">
        <x:v>12079</x:v>
      </x:c>
      <x:c r="B94" t="n">
        <x:v>0</x:v>
      </x:c>
      <x:c r="C94" t="str">
        <x:v>Excellent</x:v>
      </x:c>
      <x:c r="D94" s="92" t="n">
        <x:v>0</x:v>
      </x:c>
      <x:c r="E94" t="n">
        <x:v>0</x:v>
      </x:c>
      <x:c r="F94" t="n">
        <x:v>0</x:v>
      </x:c>
      <x:c r="G94" t="n">
        <x:v>0</x:v>
      </x:c>
      <x:c r="H94" t="str">
        <x:v>0</x:v>
      </x:c>
    </x:row>
    <x:row r="95">
      <x:c r="A95" t="n">
        <x:v>12100</x:v>
      </x:c>
      <x:c r="B95" t="n">
        <x:v>8</x:v>
      </x:c>
      <x:c r="C95" t="str">
        <x:v>Excellent</x:v>
      </x:c>
      <x:c r="D95" s="92" t="n">
        <x:v>0</x:v>
      </x:c>
      <x:c r="E95" t="n">
        <x:v>0</x:v>
      </x:c>
      <x:c r="F95" t="n">
        <x:v>1</x:v>
      </x:c>
      <x:c r="G95" t="n">
        <x:v>1</x:v>
      </x:c>
      <x:c r="H95" t="str">
        <x:v>6-10</x:v>
      </x:c>
    </x:row>
    <x:row r="96">
      <x:c r="A96" t="n">
        <x:v>12442</x:v>
      </x:c>
      <x:c r="B96" t="n">
        <x:v>2</x:v>
      </x:c>
      <x:c r="C96" t="str">
        <x:v>Good</x:v>
      </x:c>
      <x:c r="D96" s="92" t="n">
        <x:v>0.5</x:v>
      </x:c>
      <x:c r="E96" t="n">
        <x:v>0</x:v>
      </x:c>
      <x:c r="F96" t="n">
        <x:v>1</x:v>
      </x:c>
      <x:c r="G96" t="n">
        <x:v>0</x:v>
      </x:c>
      <x:c r="H96" t="str">
        <x:v>1-2</x:v>
      </x:c>
    </x:row>
    <x:row r="97">
      <x:c r="A97" t="n">
        <x:v>12461</x:v>
      </x:c>
      <x:c r="B97" t="n">
        <x:v>2</x:v>
      </x:c>
      <x:c r="C97" t="str">
        <x:v>Good</x:v>
      </x:c>
      <x:c r="D97" s="92" t="n">
        <x:v>0.5</x:v>
      </x:c>
      <x:c r="E97" t="n">
        <x:v>0</x:v>
      </x:c>
      <x:c r="F97" t="n">
        <x:v>1</x:v>
      </x:c>
      <x:c r="G97" t="n">
        <x:v>0</x:v>
      </x:c>
      <x:c r="H97" t="str">
        <x:v>1-2</x:v>
      </x:c>
    </x:row>
    <x:row r="98">
      <x:c r="A98" t="n">
        <x:v>12540</x:v>
      </x:c>
      <x:c r="B98" t="n">
        <x:v>0</x:v>
      </x:c>
      <x:c r="C98" t="str">
        <x:v>Excellent</x:v>
      </x:c>
      <x:c r="D98" s="92" t="n">
        <x:v>0.95</x:v>
      </x:c>
      <x:c r="E98" t="n">
        <x:v>0</x:v>
      </x:c>
      <x:c r="F98" t="n">
        <x:v>0</x:v>
      </x:c>
      <x:c r="G98" t="n">
        <x:v>0</x:v>
      </x:c>
      <x:c r="H98" t="str">
        <x:v>0</x:v>
      </x:c>
    </x:row>
    <x:row r="99">
      <x:c r="A99" t="n">
        <x:v>12742</x:v>
      </x:c>
      <x:c r="B99" t="n">
        <x:v>1</x:v>
      </x:c>
      <x:c r="C99" t="str">
        <x:v>Excellent</x:v>
      </x:c>
      <x:c r="D99" s="92" t="n">
        <x:v>0.25</x:v>
      </x:c>
      <x:c r="E99" t="n">
        <x:v>0</x:v>
      </x:c>
      <x:c r="F99" t="n">
        <x:v>1</x:v>
      </x:c>
      <x:c r="G99" t="n">
        <x:v>0</x:v>
      </x:c>
      <x:c r="H99" t="str">
        <x:v>1-2</x:v>
      </x:c>
    </x:row>
    <x:row r="100">
      <x:c r="A100" t="n">
        <x:v>12814</x:v>
      </x:c>
      <x:c r="B100" t="n">
        <x:v>7</x:v>
      </x:c>
      <x:c r="C100" t="str">
        <x:v>Fair</x:v>
      </x:c>
      <x:c r="D100" s="92" t="n">
        <x:v>0</x:v>
      </x:c>
      <x:c r="E100" t="n">
        <x:v>1</x:v>
      </x:c>
      <x:c r="F100" t="n">
        <x:v>1</x:v>
      </x:c>
      <x:c r="G100" t="n">
        <x:v>0</x:v>
      </x:c>
      <x:c r="H100" t="str">
        <x:v>6-10</x:v>
      </x:c>
    </x:row>
    <x:row r="101">
      <x:c r="A101" t="n">
        <x:v>12900</x:v>
      </x:c>
      <x:c r="B101" t="n">
        <x:v>3</x:v>
      </x:c>
      <x:c r="C101" t="str">
        <x:v>Excellent</x:v>
      </x:c>
      <x:c r="D101" s="92" t="n">
        <x:v>0</x:v>
      </x:c>
      <x:c r="E101" t="n">
        <x:v>0</x:v>
      </x:c>
      <x:c r="F101" t="n">
        <x:v>1</x:v>
      </x:c>
      <x:c r="G101" t="n">
        <x:v>0</x:v>
      </x:c>
      <x:c r="H101" t="str">
        <x:v>3-5</x:v>
      </x:c>
    </x:row>
    <x:row r="102">
      <x:c r="A102" t="n">
        <x:v>12971</x:v>
      </x:c>
      <x:c r="B102" t="n">
        <x:v>1</x:v>
      </x:c>
      <x:c r="C102" t="str">
        <x:v>Excellent</x:v>
      </x:c>
      <x:c r="D102" s="92" t="n">
        <x:v>0.5</x:v>
      </x:c>
      <x:c r="E102" t="n">
        <x:v>0</x:v>
      </x:c>
      <x:c r="F102" t="n">
        <x:v>1</x:v>
      </x:c>
      <x:c r="G102" t="n">
        <x:v>0</x:v>
      </x:c>
      <x:c r="H102" t="str">
        <x:v>1-2</x:v>
      </x:c>
    </x:row>
    <x:row r="103">
      <x:c r="A103" t="n">
        <x:v>13099</x:v>
      </x:c>
      <x:c r="B103" t="n">
        <x:v>2</x:v>
      </x:c>
      <x:c r="C103" t="str">
        <x:v>Fair</x:v>
      </x:c>
      <x:c r="D103" s="92" t="n">
        <x:v>0</x:v>
      </x:c>
      <x:c r="E103" t="n">
        <x:v>1</x:v>
      </x:c>
      <x:c r="F103" t="n">
        <x:v>1</x:v>
      </x:c>
      <x:c r="G103" t="n">
        <x:v>0</x:v>
      </x:c>
      <x:c r="H103" t="str">
        <x:v>1-2</x:v>
      </x:c>
    </x:row>
    <x:row r="104">
      <x:c r="A104" t="n">
        <x:v>13442</x:v>
      </x:c>
      <x:c r="B104" t="n">
        <x:v>8</x:v>
      </x:c>
      <x:c r="C104" t="str">
        <x:v>Excellent</x:v>
      </x:c>
      <x:c r="D104" s="92" t="n">
        <x:v>0.25</x:v>
      </x:c>
      <x:c r="E104" t="n">
        <x:v>0</x:v>
      </x:c>
      <x:c r="F104" t="n">
        <x:v>1</x:v>
      </x:c>
      <x:c r="G104" t="n">
        <x:v>1</x:v>
      </x:c>
      <x:c r="H104" t="str">
        <x:v>6-10</x:v>
      </x:c>
    </x:row>
    <x:row r="105">
      <x:c r="A105" t="n">
        <x:v>13444</x:v>
      </x:c>
      <x:c r="B105" t="n">
        <x:v>3</x:v>
      </x:c>
      <x:c r="C105" t="str">
        <x:v>Excellent</x:v>
      </x:c>
      <x:c r="D105" s="92" t="n">
        <x:v>0.95</x:v>
      </x:c>
      <x:c r="E105" t="n">
        <x:v>0</x:v>
      </x:c>
      <x:c r="F105" t="n">
        <x:v>1</x:v>
      </x:c>
      <x:c r="G105" t="n">
        <x:v>0</x:v>
      </x:c>
      <x:c r="H105" t="str">
        <x:v>3-5</x:v>
      </x:c>
    </x:row>
    <x:row r="106">
      <x:c r="A106" t="n">
        <x:v>13571</x:v>
      </x:c>
      <x:c r="B106" t="n">
        <x:v>1</x:v>
      </x:c>
      <x:c r="C106" t="str">
        <x:v>Excellent</x:v>
      </x:c>
      <x:c r="D106" s="92" t="n">
        <x:v>0</x:v>
      </x:c>
      <x:c r="E106" t="n">
        <x:v>1</x:v>
      </x:c>
      <x:c r="F106" t="n">
        <x:v>1</x:v>
      </x:c>
      <x:c r="G106" t="n">
        <x:v>0</x:v>
      </x:c>
      <x:c r="H106" t="str">
        <x:v>1-2</x:v>
      </x:c>
    </x:row>
    <x:row r="107">
      <x:c r="A107" t="n">
        <x:v>14015</x:v>
      </x:c>
      <x:c r="B107" t="n">
        <x:v>3</x:v>
      </x:c>
      <x:c r="C107" t="str">
        <x:v>Excellent</x:v>
      </x:c>
      <x:c r="D107" s="92" t="n">
        <x:v>0.25</x:v>
      </x:c>
      <x:c r="E107" t="n">
        <x:v>0</x:v>
      </x:c>
      <x:c r="F107" t="n">
        <x:v>1</x:v>
      </x:c>
      <x:c r="G107" t="n">
        <x:v>0</x:v>
      </x:c>
      <x:c r="H107" t="str">
        <x:v>3-5</x:v>
      </x:c>
    </x:row>
    <x:row r="108">
      <x:c r="A108" t="n">
        <x:v>14069</x:v>
      </x:c>
      <x:c r="B108" t="n">
        <x:v>5</x:v>
      </x:c>
      <x:c r="C108" t="str">
        <x:v>Good</x:v>
      </x:c>
      <x:c r="D108" s="92" t="n">
        <x:v>0</x:v>
      </x:c>
      <x:c r="E108" t="n">
        <x:v>0</x:v>
      </x:c>
      <x:c r="F108" t="n">
        <x:v>1</x:v>
      </x:c>
      <x:c r="G108" t="n">
        <x:v>0</x:v>
      </x:c>
      <x:c r="H108" t="str">
        <x:v>3-5</x:v>
      </x:c>
    </x:row>
    <x:row r="109">
      <x:c r="A109" t="n">
        <x:v>14222</x:v>
      </x:c>
      <x:c r="B109" t="n">
        <x:v>5</x:v>
      </x:c>
      <x:c r="C109" t="str">
        <x:v>Excellent</x:v>
      </x:c>
      <x:c r="D109" s="92" t="n">
        <x:v>0</x:v>
      </x:c>
      <x:c r="E109" t="n">
        <x:v>1</x:v>
      </x:c>
      <x:c r="F109" t="n">
        <x:v>1</x:v>
      </x:c>
      <x:c r="G109" t="n">
        <x:v>0</x:v>
      </x:c>
      <x:c r="H109" t="str">
        <x:v>3-5</x:v>
      </x:c>
    </x:row>
    <x:row r="110">
      <x:c r="A110" t="n">
        <x:v>14305</x:v>
      </x:c>
      <x:c r="B110" t="n">
        <x:v>6</x:v>
      </x:c>
      <x:c r="C110" t="str">
        <x:v>Excellent</x:v>
      </x:c>
      <x:c r="D110" s="92" t="n">
        <x:v>0.95</x:v>
      </x:c>
      <x:c r="E110" t="n">
        <x:v>0</x:v>
      </x:c>
      <x:c r="F110" t="n">
        <x:v>1</x:v>
      </x:c>
      <x:c r="G110" t="n">
        <x:v>0</x:v>
      </x:c>
      <x:c r="H110" t="str">
        <x:v>6-10</x:v>
      </x:c>
    </x:row>
    <x:row r="111">
      <x:c r="A111" t="n">
        <x:v>14367</x:v>
      </x:c>
      <x:c r="B111" t="n">
        <x:v>1</x:v>
      </x:c>
      <x:c r="C111" t="str">
        <x:v>Good</x:v>
      </x:c>
      <x:c r="D111" s="92" t="n">
        <x:v>0.25</x:v>
      </x:c>
      <x:c r="E111" t="n">
        <x:v>0</x:v>
      </x:c>
      <x:c r="F111" t="n">
        <x:v>1</x:v>
      </x:c>
      <x:c r="G111" t="n">
        <x:v>0</x:v>
      </x:c>
      <x:c r="H111" t="str">
        <x:v>1-2</x:v>
      </x:c>
    </x:row>
    <x:row r="112">
      <x:c r="A112" t="n">
        <x:v>14412</x:v>
      </x:c>
      <x:c r="B112" t="n">
        <x:v>0</x:v>
      </x:c>
      <x:c r="C112" t="str">
        <x:v>Good</x:v>
      </x:c>
      <x:c r="D112" s="92" t="n">
        <x:v>0.95</x:v>
      </x:c>
      <x:c r="E112" t="n">
        <x:v>0</x:v>
      </x:c>
      <x:c r="F112" t="n">
        <x:v>0</x:v>
      </x:c>
      <x:c r="G112" t="n">
        <x:v>0</x:v>
      </x:c>
      <x:c r="H112" t="str">
        <x:v>0</x:v>
      </x:c>
    </x:row>
    <x:row r="113">
      <x:c r="A113" t="n">
        <x:v>14582</x:v>
      </x:c>
      <x:c r="B113" t="n">
        <x:v>2</x:v>
      </x:c>
      <x:c r="C113" t="str">
        <x:v>Good</x:v>
      </x:c>
      <x:c r="D113" s="92" t="n">
        <x:v>0.95</x:v>
      </x:c>
      <x:c r="E113" t="n">
        <x:v>0</x:v>
      </x:c>
      <x:c r="F113" t="n">
        <x:v>1</x:v>
      </x:c>
      <x:c r="G113" t="n">
        <x:v>0</x:v>
      </x:c>
      <x:c r="H113" t="str">
        <x:v>1-2</x:v>
      </x:c>
    </x:row>
    <x:row r="114">
      <x:c r="A114" t="n">
        <x:v>14858</x:v>
      </x:c>
      <x:c r="B114" t="n">
        <x:v>0</x:v>
      </x:c>
      <x:c r="C114" t="str">
        <x:v>Excellent</x:v>
      </x:c>
      <x:c r="D114" s="92" t="n">
        <x:v>0.25</x:v>
      </x:c>
      <x:c r="E114" t="n">
        <x:v>0</x:v>
      </x:c>
      <x:c r="F114" t="n">
        <x:v>0</x:v>
      </x:c>
      <x:c r="G114" t="n">
        <x:v>0</x:v>
      </x:c>
      <x:c r="H114" t="str">
        <x:v>0</x:v>
      </x:c>
    </x:row>
    <x:row r="115">
      <x:c r="A115" t="n">
        <x:v>14873</x:v>
      </x:c>
      <x:c r="B115" t="n">
        <x:v>1</x:v>
      </x:c>
      <x:c r="C115" t="str">
        <x:v>Good</x:v>
      </x:c>
      <x:c r="D115" s="92" t="n">
        <x:v>0</x:v>
      </x:c>
      <x:c r="E115" t="n">
        <x:v>0</x:v>
      </x:c>
      <x:c r="F115" t="n">
        <x:v>1</x:v>
      </x:c>
      <x:c r="G115" t="n">
        <x:v>0</x:v>
      </x:c>
      <x:c r="H115" t="str">
        <x:v>1-2</x:v>
      </x:c>
    </x:row>
    <x:row r="116">
      <x:c r="A116" t="n">
        <x:v>14926</x:v>
      </x:c>
      <x:c r="B116" t="n">
        <x:v>4</x:v>
      </x:c>
      <x:c r="C116" t="str">
        <x:v>Fair</x:v>
      </x:c>
      <x:c r="D116" s="92" t="n">
        <x:v>0.95</x:v>
      </x:c>
      <x:c r="E116" t="n">
        <x:v>0</x:v>
      </x:c>
      <x:c r="F116" t="n">
        <x:v>1</x:v>
      </x:c>
      <x:c r="G116" t="n">
        <x:v>0</x:v>
      </x:c>
      <x:c r="H116" t="str">
        <x:v>3-5</x:v>
      </x:c>
    </x:row>
    <x:row r="117">
      <x:c r="A117" t="n">
        <x:v>15033</x:v>
      </x:c>
      <x:c r="B117" t="n">
        <x:v>0</x:v>
      </x:c>
      <x:c r="C117" t="str">
        <x:v>Excellent</x:v>
      </x:c>
      <x:c r="D117" s="92" t="n">
        <x:v>0.5</x:v>
      </x:c>
      <x:c r="E117" t="n">
        <x:v>0</x:v>
      </x:c>
      <x:c r="F117" t="n">
        <x:v>0</x:v>
      </x:c>
      <x:c r="G117" t="n">
        <x:v>0</x:v>
      </x:c>
      <x:c r="H117" t="str">
        <x:v>0</x:v>
      </x:c>
    </x:row>
    <x:row r="118">
      <x:c r="A118" t="n">
        <x:v>15063</x:v>
      </x:c>
      <x:c r="B118" t="n">
        <x:v>2</x:v>
      </x:c>
      <x:c r="C118" t="str">
        <x:v>Good</x:v>
      </x:c>
      <x:c r="D118" s="92" t="n">
        <x:v>0.25</x:v>
      </x:c>
      <x:c r="E118" t="n">
        <x:v>0</x:v>
      </x:c>
      <x:c r="F118" t="n">
        <x:v>1</x:v>
      </x:c>
      <x:c r="G118" t="n">
        <x:v>0</x:v>
      </x:c>
      <x:c r="H118" t="str">
        <x:v>1-2</x:v>
      </x:c>
    </x:row>
    <x:row r="119">
      <x:c r="A119" t="n">
        <x:v>15104</x:v>
      </x:c>
      <x:c r="B119" t="n">
        <x:v>1</x:v>
      </x:c>
      <x:c r="C119" t="str">
        <x:v>Good</x:v>
      </x:c>
      <x:c r="D119" s="92" t="n">
        <x:v>0.25</x:v>
      </x:c>
      <x:c r="E119" t="n">
        <x:v>0</x:v>
      </x:c>
      <x:c r="F119" t="n">
        <x:v>1</x:v>
      </x:c>
      <x:c r="G119" t="n">
        <x:v>0</x:v>
      </x:c>
      <x:c r="H119" t="str">
        <x:v>1-2</x:v>
      </x:c>
    </x:row>
    <x:row r="120">
      <x:c r="A120" t="n">
        <x:v>15179</x:v>
      </x:c>
      <x:c r="B120" t="n">
        <x:v>0</x:v>
      </x:c>
      <x:c r="C120" t="str">
        <x:v>Good</x:v>
      </x:c>
      <x:c r="D120" s="92" t="n">
        <x:v>0.5</x:v>
      </x:c>
      <x:c r="E120" t="n">
        <x:v>0</x:v>
      </x:c>
      <x:c r="F120" t="n">
        <x:v>0</x:v>
      </x:c>
      <x:c r="G120" t="n">
        <x:v>0</x:v>
      </x:c>
      <x:c r="H120" t="str">
        <x:v>0</x:v>
      </x:c>
    </x:row>
    <x:row r="121">
      <x:c r="A121" t="n">
        <x:v>15336</x:v>
      </x:c>
      <x:c r="B121" t="n">
        <x:v>2</x:v>
      </x:c>
      <x:c r="C121" t="str">
        <x:v>Fair</x:v>
      </x:c>
      <x:c r="D121" s="92" t="n">
        <x:v>0.95</x:v>
      </x:c>
      <x:c r="E121" t="n">
        <x:v>0</x:v>
      </x:c>
      <x:c r="F121" t="n">
        <x:v>1</x:v>
      </x:c>
      <x:c r="G121" t="n">
        <x:v>0</x:v>
      </x:c>
      <x:c r="H121" t="str">
        <x:v>1-2</x:v>
      </x:c>
    </x:row>
    <x:row r="122">
      <x:c r="A122" t="n">
        <x:v>15365</x:v>
      </x:c>
      <x:c r="B122" t="n">
        <x:v>6</x:v>
      </x:c>
      <x:c r="C122" t="str">
        <x:v>Fair</x:v>
      </x:c>
      <x:c r="D122" s="92" t="n">
        <x:v>0</x:v>
      </x:c>
      <x:c r="E122" t="n">
        <x:v>1</x:v>
      </x:c>
      <x:c r="F122" t="n">
        <x:v>1</x:v>
      </x:c>
      <x:c r="G122" t="n">
        <x:v>0</x:v>
      </x:c>
      <x:c r="H122" t="str">
        <x:v>6-10</x:v>
      </x:c>
    </x:row>
    <x:row r="123">
      <x:c r="A123" t="n">
        <x:v>15556</x:v>
      </x:c>
      <x:c r="B123" t="n">
        <x:v>0</x:v>
      </x:c>
      <x:c r="C123" t="str">
        <x:v>Good</x:v>
      </x:c>
      <x:c r="D123" s="92" t="n">
        <x:v>0</x:v>
      </x:c>
      <x:c r="E123" t="n">
        <x:v>0</x:v>
      </x:c>
      <x:c r="F123" t="n">
        <x:v>0</x:v>
      </x:c>
      <x:c r="G123" t="n">
        <x:v>0</x:v>
      </x:c>
      <x:c r="H123" t="str">
        <x:v>0</x:v>
      </x:c>
    </x:row>
    <x:row r="124">
      <x:c r="A124" t="n">
        <x:v>15599</x:v>
      </x:c>
      <x:c r="B124" t="n">
        <x:v>0</x:v>
      </x:c>
      <x:c r="C124" t="str">
        <x:v>Fair</x:v>
      </x:c>
      <x:c r="D124" s="92" t="n">
        <x:v>0</x:v>
      </x:c>
      <x:c r="E124" t="n">
        <x:v>1</x:v>
      </x:c>
      <x:c r="F124" t="n">
        <x:v>0</x:v>
      </x:c>
      <x:c r="G124" t="n">
        <x:v>0</x:v>
      </x:c>
      <x:c r="H124" t="str">
        <x:v>0</x:v>
      </x:c>
    </x:row>
    <x:row r="125">
      <x:c r="A125" t="n">
        <x:v>15660</x:v>
      </x:c>
      <x:c r="B125" t="n">
        <x:v>0</x:v>
      </x:c>
      <x:c r="C125" t="str">
        <x:v>Poor</x:v>
      </x:c>
      <x:c r="D125" s="92" t="n">
        <x:v>0.25</x:v>
      </x:c>
      <x:c r="E125" t="n">
        <x:v>0</x:v>
      </x:c>
      <x:c r="F125" t="n">
        <x:v>0</x:v>
      </x:c>
      <x:c r="G125" t="n">
        <x:v>0</x:v>
      </x:c>
      <x:c r="H125" t="str">
        <x:v>0</x:v>
      </x:c>
    </x:row>
    <x:row r="126">
      <x:c r="A126" t="n">
        <x:v>15721</x:v>
      </x:c>
      <x:c r="B126" t="n">
        <x:v>0</x:v>
      </x:c>
      <x:c r="C126" t="str">
        <x:v>Good</x:v>
      </x:c>
      <x:c r="D126" s="92" t="n">
        <x:v>0.95</x:v>
      </x:c>
      <x:c r="E126" t="n">
        <x:v>0</x:v>
      </x:c>
      <x:c r="F126" t="n">
        <x:v>0</x:v>
      </x:c>
      <x:c r="G126" t="n">
        <x:v>0</x:v>
      </x:c>
      <x:c r="H126" t="str">
        <x:v>0</x:v>
      </x:c>
    </x:row>
    <x:row r="127">
      <x:c r="A127" t="n">
        <x:v>15857</x:v>
      </x:c>
      <x:c r="B127" t="n">
        <x:v>7</x:v>
      </x:c>
      <x:c r="C127" t="str">
        <x:v>Good</x:v>
      </x:c>
      <x:c r="D127" s="92" t="n">
        <x:v>0</x:v>
      </x:c>
      <x:c r="E127" t="n">
        <x:v>0</x:v>
      </x:c>
      <x:c r="F127" t="n">
        <x:v>1</x:v>
      </x:c>
      <x:c r="G127" t="n">
        <x:v>0</x:v>
      </x:c>
      <x:c r="H127" t="str">
        <x:v>6-10</x:v>
      </x:c>
    </x:row>
    <x:row r="128">
      <x:c r="A128" t="n">
        <x:v>15984</x:v>
      </x:c>
      <x:c r="B128" t="n">
        <x:v>0</x:v>
      </x:c>
      <x:c r="C128" t="str">
        <x:v>Fair</x:v>
      </x:c>
      <x:c r="D128" s="92" t="n">
        <x:v>0</x:v>
      </x:c>
      <x:c r="E128" t="n">
        <x:v>0</x:v>
      </x:c>
      <x:c r="F128" t="n">
        <x:v>0</x:v>
      </x:c>
      <x:c r="G128" t="n">
        <x:v>0</x:v>
      </x:c>
      <x:c r="H128" t="str">
        <x:v>0</x:v>
      </x:c>
    </x:row>
    <x:row r="129">
      <x:c r="A129" t="n">
        <x:v>16062</x:v>
      </x:c>
      <x:c r="B129" t="n">
        <x:v>8</x:v>
      </x:c>
      <x:c r="C129" t="str">
        <x:v>Good</x:v>
      </x:c>
      <x:c r="D129" s="92" t="n">
        <x:v>0.25</x:v>
      </x:c>
      <x:c r="E129" t="n">
        <x:v>0</x:v>
      </x:c>
      <x:c r="F129" t="n">
        <x:v>1</x:v>
      </x:c>
      <x:c r="G129" t="n">
        <x:v>1</x:v>
      </x:c>
      <x:c r="H129" t="str">
        <x:v>6-10</x:v>
      </x:c>
    </x:row>
    <x:row r="130">
      <x:c r="A130" t="n">
        <x:v>16075</x:v>
      </x:c>
      <x:c r="B130" t="n">
        <x:v>0</x:v>
      </x:c>
      <x:c r="C130" t="str">
        <x:v>Good</x:v>
      </x:c>
      <x:c r="D130" s="92" t="n">
        <x:v>0</x:v>
      </x:c>
      <x:c r="E130" t="n">
        <x:v>1</x:v>
      </x:c>
      <x:c r="F130" t="n">
        <x:v>0</x:v>
      </x:c>
      <x:c r="G130" t="n">
        <x:v>0</x:v>
      </x:c>
      <x:c r="H130" t="str">
        <x:v>0</x:v>
      </x:c>
    </x:row>
    <x:row r="131">
      <x:c r="A131" t="n">
        <x:v>16147</x:v>
      </x:c>
      <x:c r="B131" t="n">
        <x:v>0</x:v>
      </x:c>
      <x:c r="C131" t="str">
        <x:v>Fair</x:v>
      </x:c>
      <x:c r="D131" s="92" t="n">
        <x:v>0.25</x:v>
      </x:c>
      <x:c r="E131" t="n">
        <x:v>0</x:v>
      </x:c>
      <x:c r="F131" t="n">
        <x:v>0</x:v>
      </x:c>
      <x:c r="G131" t="n">
        <x:v>0</x:v>
      </x:c>
      <x:c r="H131" t="str">
        <x:v>0</x:v>
      </x:c>
    </x:row>
    <x:row r="132">
      <x:c r="A132" t="n">
        <x:v>16182</x:v>
      </x:c>
      <x:c r="B132" t="n">
        <x:v>8</x:v>
      </x:c>
      <x:c r="C132" t="str">
        <x:v>Good</x:v>
      </x:c>
      <x:c r="D132" s="92" t="n">
        <x:v>0.25</x:v>
      </x:c>
      <x:c r="E132" t="n">
        <x:v>0</x:v>
      </x:c>
      <x:c r="F132" t="n">
        <x:v>1</x:v>
      </x:c>
      <x:c r="G132" t="n">
        <x:v>1</x:v>
      </x:c>
      <x:c r="H132" t="str">
        <x:v>6-10</x:v>
      </x:c>
    </x:row>
    <x:row r="133">
      <x:c r="A133" t="n">
        <x:v>16258</x:v>
      </x:c>
      <x:c r="B133" t="n">
        <x:v>0</x:v>
      </x:c>
      <x:c r="C133" t="str">
        <x:v>Excellent</x:v>
      </x:c>
      <x:c r="D133" s="92" t="n">
        <x:v>0.25</x:v>
      </x:c>
      <x:c r="E133" t="n">
        <x:v>0</x:v>
      </x:c>
      <x:c r="F133" t="n">
        <x:v>0</x:v>
      </x:c>
      <x:c r="G133" t="n">
        <x:v>0</x:v>
      </x:c>
      <x:c r="H133" t="str">
        <x:v>0</x:v>
      </x:c>
    </x:row>
    <x:row r="134">
      <x:c r="A134" t="n">
        <x:v>16314</x:v>
      </x:c>
      <x:c r="B134" t="n">
        <x:v>3</x:v>
      </x:c>
      <x:c r="C134" t="str">
        <x:v>Excellent</x:v>
      </x:c>
      <x:c r="D134" s="92" t="n">
        <x:v>0</x:v>
      </x:c>
      <x:c r="E134" t="n">
        <x:v>0</x:v>
      </x:c>
      <x:c r="F134" t="n">
        <x:v>1</x:v>
      </x:c>
      <x:c r="G134" t="n">
        <x:v>0</x:v>
      </x:c>
      <x:c r="H134" t="str">
        <x:v>3-5</x:v>
      </x:c>
    </x:row>
    <x:row r="135">
      <x:c r="A135" t="n">
        <x:v>16360</x:v>
      </x:c>
      <x:c r="B135" t="n">
        <x:v>2</x:v>
      </x:c>
      <x:c r="C135" t="str">
        <x:v>Good</x:v>
      </x:c>
      <x:c r="D135" s="92" t="n">
        <x:v>0</x:v>
      </x:c>
      <x:c r="E135" t="n">
        <x:v>1</x:v>
      </x:c>
      <x:c r="F135" t="n">
        <x:v>1</x:v>
      </x:c>
      <x:c r="G135" t="n">
        <x:v>0</x:v>
      </x:c>
      <x:c r="H135" t="str">
        <x:v>1-2</x:v>
      </x:c>
    </x:row>
    <x:row r="136">
      <x:c r="A136" t="n">
        <x:v>16380</x:v>
      </x:c>
      <x:c r="B136" t="n">
        <x:v>7</x:v>
      </x:c>
      <x:c r="C136" t="str">
        <x:v>Good</x:v>
      </x:c>
      <x:c r="D136" s="92" t="n">
        <x:v>0</x:v>
      </x:c>
      <x:c r="E136" t="n">
        <x:v>0</x:v>
      </x:c>
      <x:c r="F136" t="n">
        <x:v>1</x:v>
      </x:c>
      <x:c r="G136" t="n">
        <x:v>0</x:v>
      </x:c>
      <x:c r="H136" t="str">
        <x:v>6-10</x:v>
      </x:c>
    </x:row>
    <x:row r="137">
      <x:c r="A137" t="n">
        <x:v>16497</x:v>
      </x:c>
      <x:c r="B137" t="n">
        <x:v>0</x:v>
      </x:c>
      <x:c r="C137" t="str">
        <x:v>Excellent</x:v>
      </x:c>
      <x:c r="D137" s="92" t="n">
        <x:v>0.95</x:v>
      </x:c>
      <x:c r="E137" t="n">
        <x:v>0</x:v>
      </x:c>
      <x:c r="F137" t="n">
        <x:v>0</x:v>
      </x:c>
      <x:c r="G137" t="n">
        <x:v>0</x:v>
      </x:c>
      <x:c r="H137" t="str">
        <x:v>0</x:v>
      </x:c>
    </x:row>
    <x:row r="138">
      <x:c r="A138" t="n">
        <x:v>16829</x:v>
      </x:c>
      <x:c r="B138" t="n">
        <x:v>0</x:v>
      </x:c>
      <x:c r="C138" t="str">
        <x:v>Excellent</x:v>
      </x:c>
      <x:c r="D138" s="92" t="n">
        <x:v>0</x:v>
      </x:c>
      <x:c r="E138" t="n">
        <x:v>1</x:v>
      </x:c>
      <x:c r="F138" t="n">
        <x:v>0</x:v>
      </x:c>
      <x:c r="G138" t="n">
        <x:v>0</x:v>
      </x:c>
      <x:c r="H138" t="str">
        <x:v>0</x:v>
      </x:c>
    </x:row>
    <x:row r="139">
      <x:c r="A139" t="n">
        <x:v>16842</x:v>
      </x:c>
      <x:c r="B139" t="n">
        <x:v>0</x:v>
      </x:c>
      <x:c r="C139" t="str">
        <x:v>Excellent</x:v>
      </x:c>
      <x:c r="D139" s="92" t="n">
        <x:v>0</x:v>
      </x:c>
      <x:c r="E139" t="n">
        <x:v>1</x:v>
      </x:c>
      <x:c r="F139" t="n">
        <x:v>0</x:v>
      </x:c>
      <x:c r="G139" t="n">
        <x:v>0</x:v>
      </x:c>
      <x:c r="H139" t="str">
        <x:v>0</x:v>
      </x:c>
    </x:row>
    <x:row r="140">
      <x:c r="A140" t="n">
        <x:v>16942</x:v>
      </x:c>
      <x:c r="B140" t="n">
        <x:v>2</x:v>
      </x:c>
      <x:c r="C140" t="str">
        <x:v>Poor</x:v>
      </x:c>
      <x:c r="D140" s="92" t="n">
        <x:v>0</x:v>
      </x:c>
      <x:c r="E140" t="n">
        <x:v>1</x:v>
      </x:c>
      <x:c r="F140" t="n">
        <x:v>1</x:v>
      </x:c>
      <x:c r="G140" t="n">
        <x:v>0</x:v>
      </x:c>
      <x:c r="H140" t="str">
        <x:v>1-2</x:v>
      </x:c>
    </x:row>
    <x:row r="141">
      <x:c r="A141" t="n">
        <x:v>17178</x:v>
      </x:c>
      <x:c r="B141" t="n">
        <x:v>0</x:v>
      </x:c>
      <x:c r="C141" t="str">
        <x:v>Fair</x:v>
      </x:c>
      <x:c r="D141" s="92" t="n">
        <x:v>0</x:v>
      </x:c>
      <x:c r="E141" t="n">
        <x:v>1</x:v>
      </x:c>
      <x:c r="F141" t="n">
        <x:v>0</x:v>
      </x:c>
      <x:c r="G141" t="n">
        <x:v>0</x:v>
      </x:c>
      <x:c r="H141" t="str">
        <x:v>0</x:v>
      </x:c>
    </x:row>
    <x:row r="142">
      <x:c r="A142" t="n">
        <x:v>18079</x:v>
      </x:c>
      <x:c r="B142" t="n">
        <x:v>0</x:v>
      </x:c>
      <x:c r="C142" t="str">
        <x:v>Good</x:v>
      </x:c>
      <x:c r="D142" s="92" t="n">
        <x:v>0.25</x:v>
      </x:c>
      <x:c r="E142" t="n">
        <x:v>0</x:v>
      </x:c>
      <x:c r="F142" t="n">
        <x:v>0</x:v>
      </x:c>
      <x:c r="G142" t="n">
        <x:v>0</x:v>
      </x:c>
      <x:c r="H142" t="str">
        <x:v>0</x:v>
      </x:c>
    </x:row>
    <x:row r="143">
      <x:c r="A143" t="n">
        <x:v>18586</x:v>
      </x:c>
      <x:c r="B143" t="n">
        <x:v>4</x:v>
      </x:c>
      <x:c r="C143" t="str">
        <x:v>Good</x:v>
      </x:c>
      <x:c r="D143" s="92" t="n">
        <x:v>0</x:v>
      </x:c>
      <x:c r="E143" t="n">
        <x:v>0</x:v>
      </x:c>
      <x:c r="F143" t="n">
        <x:v>1</x:v>
      </x:c>
      <x:c r="G143" t="n">
        <x:v>0</x:v>
      </x:c>
      <x:c r="H143" t="str">
        <x:v>3-5</x:v>
      </x:c>
    </x:row>
    <x:row r="144">
      <x:c r="A144" t="n">
        <x:v>18693</x:v>
      </x:c>
      <x:c r="B144" t="n">
        <x:v>4</x:v>
      </x:c>
      <x:c r="C144" t="str">
        <x:v>Good</x:v>
      </x:c>
      <x:c r="D144" s="92" t="n">
        <x:v>0</x:v>
      </x:c>
      <x:c r="E144" t="n">
        <x:v>1</x:v>
      </x:c>
      <x:c r="F144" t="n">
        <x:v>1</x:v>
      </x:c>
      <x:c r="G144" t="n">
        <x:v>0</x:v>
      </x:c>
      <x:c r="H144" t="str">
        <x:v>3-5</x:v>
      </x:c>
    </x:row>
    <x:row r="145">
      <x:c r="A145" t="n">
        <x:v>18776</x:v>
      </x:c>
      <x:c r="B145" t="n">
        <x:v>0</x:v>
      </x:c>
      <x:c r="C145" t="str">
        <x:v>Poor</x:v>
      </x:c>
      <x:c r="D145" s="92" t="n">
        <x:v>0.5</x:v>
      </x:c>
      <x:c r="E145" t="n">
        <x:v>0</x:v>
      </x:c>
      <x:c r="F145" t="n">
        <x:v>0</x:v>
      </x:c>
      <x:c r="G145" t="n">
        <x:v>0</x:v>
      </x:c>
      <x:c r="H145" t="str">
        <x:v>0</x:v>
      </x:c>
    </x:row>
    <x:row r="146">
      <x:c r="A146" t="n">
        <x:v>18862</x:v>
      </x:c>
      <x:c r="B146" t="n">
        <x:v>2</x:v>
      </x:c>
      <x:c r="C146" t="str">
        <x:v>Good</x:v>
      </x:c>
      <x:c r="D146" s="92" t="n">
        <x:v>0</x:v>
      </x:c>
      <x:c r="E146" t="n">
        <x:v>0</x:v>
      </x:c>
      <x:c r="F146" t="n">
        <x:v>1</x:v>
      </x:c>
      <x:c r="G146" t="n">
        <x:v>0</x:v>
      </x:c>
      <x:c r="H146" t="str">
        <x:v>1-2</x:v>
      </x:c>
    </x:row>
    <x:row r="147">
      <x:c r="A147" t="n">
        <x:v>18899</x:v>
      </x:c>
      <x:c r="B147" t="n">
        <x:v>2</x:v>
      </x:c>
      <x:c r="C147" t="str">
        <x:v>Excellent</x:v>
      </x:c>
      <x:c r="D147" s="92" t="n">
        <x:v>0.25</x:v>
      </x:c>
      <x:c r="E147" t="n">
        <x:v>0</x:v>
      </x:c>
      <x:c r="F147" t="n">
        <x:v>1</x:v>
      </x:c>
      <x:c r="G147" t="n">
        <x:v>0</x:v>
      </x:c>
      <x:c r="H147" t="str">
        <x:v>1-2</x:v>
      </x:c>
    </x:row>
    <x:row r="148">
      <x:c r="A148" t="n">
        <x:v>19198</x:v>
      </x:c>
      <x:c r="B148" t="n">
        <x:v>3</x:v>
      </x:c>
      <x:c r="C148" t="str">
        <x:v>Excellent</x:v>
      </x:c>
      <x:c r="D148" s="92" t="n">
        <x:v>0</x:v>
      </x:c>
      <x:c r="E148" t="n">
        <x:v>1</x:v>
      </x:c>
      <x:c r="F148" t="n">
        <x:v>1</x:v>
      </x:c>
      <x:c r="G148" t="n">
        <x:v>0</x:v>
      </x:c>
      <x:c r="H148" t="str">
        <x:v>3-5</x:v>
      </x:c>
    </x:row>
    <x:row r="149">
      <x:c r="A149" t="n">
        <x:v>19435</x:v>
      </x:c>
      <x:c r="B149" t="n">
        <x:v>2</x:v>
      </x:c>
      <x:c r="C149" t="str">
        <x:v>Excellent</x:v>
      </x:c>
      <x:c r="D149" s="92" t="n">
        <x:v>0</x:v>
      </x:c>
      <x:c r="E149" t="n">
        <x:v>1</x:v>
      </x:c>
      <x:c r="F149" t="n">
        <x:v>1</x:v>
      </x:c>
      <x:c r="G149" t="n">
        <x:v>0</x:v>
      </x:c>
      <x:c r="H149" t="str">
        <x:v>1-2</x:v>
      </x:c>
    </x:row>
    <x:row r="150">
      <x:c r="A150" t="n">
        <x:v>19469</x:v>
      </x:c>
      <x:c r="B150" t="n">
        <x:v>0</x:v>
      </x:c>
      <x:c r="C150" t="str">
        <x:v>Good</x:v>
      </x:c>
      <x:c r="D150" s="92" t="n">
        <x:v>0</x:v>
      </x:c>
      <x:c r="E150" t="n">
        <x:v>1</x:v>
      </x:c>
      <x:c r="F150" t="n">
        <x:v>0</x:v>
      </x:c>
      <x:c r="G150" t="n">
        <x:v>0</x:v>
      </x:c>
      <x:c r="H150" t="str">
        <x:v>0</x:v>
      </x:c>
    </x:row>
    <x:row r="151">
      <x:c r="A151" t="n">
        <x:v>19963</x:v>
      </x:c>
      <x:c r="B151" t="n">
        <x:v>0</x:v>
      </x:c>
      <x:c r="C151" t="str">
        <x:v>Excellent</x:v>
      </x:c>
      <x:c r="D151" s="92" t="n">
        <x:v>0.95</x:v>
      </x:c>
      <x:c r="E151" t="n">
        <x:v>0</x:v>
      </x:c>
      <x:c r="F151" t="n">
        <x:v>0</x:v>
      </x:c>
      <x:c r="G151" t="n">
        <x:v>0</x:v>
      </x:c>
      <x:c r="H151" t="str">
        <x:v>0</x:v>
      </x:c>
    </x:row>
    <x:row r="152">
      <x:c r="A152" t="n">
        <x:v>20073</x:v>
      </x:c>
      <x:c r="B152" t="n">
        <x:v>0</x:v>
      </x:c>
      <x:c r="C152" t="str">
        <x:v>Excellent</x:v>
      </x:c>
      <x:c r="D152" s="92" t="n">
        <x:v>0.95</x:v>
      </x:c>
      <x:c r="E152" t="n">
        <x:v>0</x:v>
      </x:c>
      <x:c r="F152" t="n">
        <x:v>0</x:v>
      </x:c>
      <x:c r="G152" t="n">
        <x:v>0</x:v>
      </x:c>
      <x:c r="H152" t="str">
        <x:v>0</x:v>
      </x:c>
    </x:row>
    <x:row r="153">
      <x:c r="A153" t="n">
        <x:v>20137</x:v>
      </x:c>
      <x:c r="B153" t="n">
        <x:v>1</x:v>
      </x:c>
      <x:c r="C153" t="str">
        <x:v>Excellent</x:v>
      </x:c>
      <x:c r="D153" s="92" t="n">
        <x:v>0</x:v>
      </x:c>
      <x:c r="E153" t="n">
        <x:v>1</x:v>
      </x:c>
      <x:c r="F153" t="n">
        <x:v>1</x:v>
      </x:c>
      <x:c r="G153" t="n">
        <x:v>0</x:v>
      </x:c>
      <x:c r="H153" t="str">
        <x:v>1-2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2a8fc13640b44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 ht="38" customHeight="1">
      <x:c r="A1" s="5" t="str">
        <x:v>DATA, METHODS &amp; LIMITATIONS</x:v>
      </x:c>
      <x:c r="B1" s="5"/>
      <x:c r="C1" s="5"/>
      <x:c r="D1" s="5"/>
      <x:c r="E1" s="5"/>
      <x:c r="F1" s="5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2" customHeight="1">
      <x:c r="A3" s="95" t="str">
        <x:v>Dataset</x:v>
      </x:c>
      <x:c r="B3" s="99" t="str">
        <x:v>RAND Health Insurance Experiment, public historical research subset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2" customHeight="1">
      <x:c r="A4" s="95" t="str">
        <x:v>Records</x:v>
      </x:c>
      <x:c r="B4" s="99" t="str">
        <x:v>20,190 observations; not distinct patients; record_id is a local row counter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95" t="str">
        <x:v>Fieldwork</x:v>
      </x:c>
      <x:c r="B5" s="99" t="str">
        <x:v>Historical data from the 1974-1982 experiment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2" customHeight="1">
      <x:c r="A6" s="95" t="str">
        <x:v>Full data</x:v>
      </x:c>
      <x:c r="B6" s="99" t="str">
        <x:v>See ../data/randhie_raw.csv and ../data/visits_clean.csv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2" customHeight="1">
      <x:c r="A7" s="95" t="str">
        <x:v>Original source</x:v>
      </x:c>
      <x:c r="B7" s="99" t="str">
        <x:v>https://www.statsmodels.org/stable/datasets/generated/randhie.html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2" customHeight="1">
      <x:c r="A8" s="95" t="str">
        <x:v>Original study</x:v>
      </x:c>
      <x:c r="B8" s="99" t="str">
        <x:v>https://doi.org/10.3886/ICPSR06439.v1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2" customHeight="1">
      <x:c r="A9" s="95" t="str">
        <x:v>License</x:v>
      </x:c>
      <x:c r="B9" s="99" t="str">
        <x:v>Subset documented as public domain in statsmodels documentation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2" customHeight="1">
      <x:c r="A10" s="95" t="str">
        <x:v>Transform: health</x:v>
      </x:c>
      <x:c r="B10" s="99" t="str">
        <x:v>Good/Fair/Poor if respective flag is 1; otherwise Excellent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32" customHeight="1">
      <x:c r="A11" s="95" t="str">
        <x:v>Transform: cost share</x:v>
      </x:c>
      <x:c r="B11" s="99" t="str">
        <x:v>Coinsurance percentage = round(exp(lncoins) - 1)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2" customHeight="1">
      <x:c r="A12" s="95" t="str">
        <x:v>Quality checks</x:v>
      </x:c>
      <x:c r="B12" s="99" t="str">
        <x:v>20,190 records; 20,190 unique row IDs; 0 missing/invalid records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32" customHeight="1">
      <x:c r="A13" s="95" t="str">
        <x:v>Validation</x:v>
      </x:c>
      <x:c r="B13" s="99" t="str">
        <x:v>SQL views independently reproduce Python totals and key segment metrics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2" customHeight="1">
      <x:c r="A14" s="95" t="str">
        <x:v>Interpretation</x:v>
      </x:c>
      <x:c r="B14" s="99" t="str">
        <x:v>Descriptive patterns only; no causal claim or current demand forecast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32" customHeight="1">
      <x:c r="A15" s="95" t="str">
        <x:v>Attribution</x:v>
      </x:c>
      <x:c r="B15" s="99" t="str">
        <x:v>Use this as a reviewed public-data work sample, not a past client project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32" customHeight="1">
      <x:c r="A16" s="95" t="str">
        <x:v>Dashboard</x:v>
      </x:c>
      <x:c r="B16" s="99" t="str">
        <x:v>Open index.html from the project root for a self-contained dashboard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</x:sheetData>
  <x:mergeCells>
    <x:mergeCell ref="A1:F1"/>
  </x:mergeCells>
  <x:pageMargins left="0.7" right="0.7" top="0.75" bottom="0.75" header="0.3" footer="0.3"/>
</x:worksheet>
</file>